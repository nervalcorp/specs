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FreeLancing\Load_Calculator\"/>
    </mc:Choice>
  </mc:AlternateContent>
  <xr:revisionPtr revIDLastSave="0" documentId="13_ncr:1_{1C66F0CB-FEE5-4086-8D4E-8A8199F7825B}" xr6:coauthVersionLast="47" xr6:coauthVersionMax="47" xr10:uidLastSave="{00000000-0000-0000-0000-000000000000}"/>
  <bookViews>
    <workbookView xWindow="-108" yWindow="-108" windowWidth="23256" windowHeight="12456" firstSheet="6" activeTab="8" xr2:uid="{B375803B-AD97-497D-9FF1-DCB3A198EA0F}"/>
  </bookViews>
  <sheets>
    <sheet name="General Walk in Cooler" sheetId="1" r:id="rId1"/>
    <sheet name="General Walk in Freezer" sheetId="3" r:id="rId2"/>
    <sheet name="Convenience Store Cooler" sheetId="4" r:id="rId3"/>
    <sheet name="Produce Cooler" sheetId="5" r:id="rId4"/>
    <sheet name="Warehouse Cooler" sheetId="7" r:id="rId5"/>
    <sheet name="Warehouse Freezer" sheetId="14" r:id="rId6"/>
    <sheet name="Floral Cooler" sheetId="25" r:id="rId7"/>
    <sheet name="Produce Warehouse" sheetId="28" r:id="rId8"/>
    <sheet name="General Walk-in Cooler with DR" sheetId="29" r:id="rId9"/>
    <sheet name="General Walk-in Freezer with DR" sheetId="30" r:id="rId10"/>
    <sheet name="Background" sheetId="2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30" l="1"/>
  <c r="O7" i="29"/>
  <c r="O6" i="30"/>
  <c r="O4" i="30"/>
  <c r="O5" i="30"/>
  <c r="O6" i="29"/>
  <c r="O4" i="29"/>
  <c r="E12" i="29"/>
  <c r="O5" i="29"/>
  <c r="O6" i="7"/>
  <c r="O6" i="5"/>
  <c r="O6" i="4"/>
  <c r="P19" i="2"/>
  <c r="P14" i="2"/>
  <c r="O9" i="30" l="1"/>
  <c r="N5" i="30" s="1"/>
  <c r="O10" i="30"/>
  <c r="O11" i="30" s="1"/>
  <c r="O9" i="29"/>
  <c r="N5" i="29" s="1"/>
  <c r="O5" i="1"/>
  <c r="O6" i="14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T54" i="2"/>
  <c r="U54" i="2" s="1"/>
  <c r="N4" i="30" l="1"/>
  <c r="N7" i="30"/>
  <c r="N6" i="30"/>
  <c r="N6" i="29"/>
  <c r="N4" i="29"/>
  <c r="N7" i="29"/>
  <c r="O10" i="29"/>
  <c r="O11" i="29" s="1"/>
  <c r="O6" i="28"/>
  <c r="O5" i="28"/>
  <c r="T79" i="2"/>
  <c r="U79" i="2" s="1"/>
  <c r="O4" i="28" s="1"/>
  <c r="T92" i="2"/>
  <c r="T83" i="2" s="1"/>
  <c r="T93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O6" i="25"/>
  <c r="O5" i="25"/>
  <c r="J79" i="2"/>
  <c r="K79" i="2" s="1"/>
  <c r="J93" i="2"/>
  <c r="J92" i="2"/>
  <c r="J83" i="2" s="1"/>
  <c r="J89" i="2" s="1"/>
  <c r="J85" i="2" s="1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U80" i="2" l="1"/>
  <c r="T89" i="2"/>
  <c r="T85" i="2" s="1"/>
  <c r="T95" i="2" s="1"/>
  <c r="T84" i="2"/>
  <c r="T90" i="2" s="1"/>
  <c r="T86" i="2" s="1"/>
  <c r="T96" i="2" s="1"/>
  <c r="K80" i="2"/>
  <c r="O4" i="25" s="1"/>
  <c r="J84" i="2"/>
  <c r="J90" i="2" s="1"/>
  <c r="J86" i="2" s="1"/>
  <c r="J96" i="2" s="1"/>
  <c r="J95" i="2"/>
  <c r="J67" i="2"/>
  <c r="O5" i="14"/>
  <c r="T67" i="2"/>
  <c r="T58" i="2" s="1"/>
  <c r="T64" i="2" s="1"/>
  <c r="T68" i="2"/>
  <c r="T59" i="2" s="1"/>
  <c r="T65" i="2" s="1"/>
  <c r="T98" i="2" l="1"/>
  <c r="J98" i="2"/>
  <c r="U55" i="2"/>
  <c r="O4" i="14" s="1"/>
  <c r="T61" i="2"/>
  <c r="T71" i="2" s="1"/>
  <c r="T60" i="2"/>
  <c r="T70" i="2" s="1"/>
  <c r="O7" i="28" l="1"/>
  <c r="O9" i="28" s="1"/>
  <c r="O7" i="25"/>
  <c r="O9" i="25" s="1"/>
  <c r="O10" i="25" s="1"/>
  <c r="O11" i="25" s="1"/>
  <c r="T73" i="2"/>
  <c r="O7" i="14" s="1"/>
  <c r="N5" i="28" l="1"/>
  <c r="O10" i="28"/>
  <c r="O11" i="28" s="1"/>
  <c r="N6" i="28"/>
  <c r="N4" i="28"/>
  <c r="N7" i="28"/>
  <c r="N6" i="25"/>
  <c r="N7" i="25"/>
  <c r="N5" i="25"/>
  <c r="N4" i="25"/>
  <c r="J54" i="2"/>
  <c r="K54" i="2" s="1"/>
  <c r="O9" i="14" l="1"/>
  <c r="N4" i="14" l="1"/>
  <c r="N5" i="14"/>
  <c r="N6" i="14"/>
  <c r="O10" i="14"/>
  <c r="O11" i="14" s="1"/>
  <c r="N7" i="14"/>
  <c r="J68" i="2"/>
  <c r="K55" i="2" s="1"/>
  <c r="J58" i="2"/>
  <c r="J64" i="2" s="1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O5" i="7"/>
  <c r="J59" i="2" l="1"/>
  <c r="J65" i="2" s="1"/>
  <c r="J61" i="2" s="1"/>
  <c r="J71" i="2" s="1"/>
  <c r="O4" i="7"/>
  <c r="J60" i="2"/>
  <c r="J70" i="2" s="1"/>
  <c r="T42" i="2"/>
  <c r="T43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O5" i="5"/>
  <c r="J43" i="2"/>
  <c r="J42" i="2"/>
  <c r="J33" i="2" s="1"/>
  <c r="J39" i="2" s="1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O5" i="4"/>
  <c r="P6" i="2"/>
  <c r="P7" i="2"/>
  <c r="P8" i="2"/>
  <c r="P9" i="2"/>
  <c r="P10" i="2"/>
  <c r="P11" i="2"/>
  <c r="P12" i="2"/>
  <c r="P13" i="2"/>
  <c r="P15" i="2"/>
  <c r="P16" i="2"/>
  <c r="P17" i="2"/>
  <c r="P18" i="2"/>
  <c r="P5" i="2"/>
  <c r="P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5" i="2"/>
  <c r="F4" i="2"/>
  <c r="O6" i="3"/>
  <c r="O5" i="3"/>
  <c r="T18" i="2"/>
  <c r="U5" i="2" s="1"/>
  <c r="T17" i="2"/>
  <c r="T8" i="2" s="1"/>
  <c r="T14" i="2" s="1"/>
  <c r="T34" i="2" l="1"/>
  <c r="T40" i="2" s="1"/>
  <c r="T36" i="2" s="1"/>
  <c r="T46" i="2" s="1"/>
  <c r="T29" i="2"/>
  <c r="U30" i="2"/>
  <c r="J34" i="2"/>
  <c r="J40" i="2" s="1"/>
  <c r="J36" i="2" s="1"/>
  <c r="J46" i="2" s="1"/>
  <c r="K30" i="2"/>
  <c r="J29" i="2"/>
  <c r="T9" i="2"/>
  <c r="T15" i="2" s="1"/>
  <c r="T11" i="2" s="1"/>
  <c r="T21" i="2" s="1"/>
  <c r="J73" i="2"/>
  <c r="O7" i="7" s="1"/>
  <c r="T33" i="2"/>
  <c r="T39" i="2" s="1"/>
  <c r="J35" i="2"/>
  <c r="J45" i="2" s="1"/>
  <c r="T4" i="2"/>
  <c r="U4" i="2" s="1"/>
  <c r="O4" i="3" s="1"/>
  <c r="T10" i="2"/>
  <c r="T20" i="2" s="1"/>
  <c r="T35" i="2" l="1"/>
  <c r="T45" i="2" s="1"/>
  <c r="T48" i="2" s="1"/>
  <c r="J48" i="2"/>
  <c r="O7" i="4" s="1"/>
  <c r="T23" i="2"/>
  <c r="O7" i="3" s="1"/>
  <c r="O7" i="5" l="1"/>
  <c r="J17" i="2"/>
  <c r="J8" i="2" s="1"/>
  <c r="J18" i="2"/>
  <c r="O6" i="1"/>
  <c r="K5" i="2" l="1"/>
  <c r="J6" i="2"/>
  <c r="U29" i="2"/>
  <c r="J9" i="2"/>
  <c r="J15" i="2" s="1"/>
  <c r="J11" i="2" s="1"/>
  <c r="J21" i="2" s="1"/>
  <c r="K29" i="2"/>
  <c r="J14" i="2"/>
  <c r="J10" i="2" s="1"/>
  <c r="J20" i="2" s="1"/>
  <c r="J4" i="2"/>
  <c r="K4" i="2" l="1"/>
  <c r="O4" i="1" s="1"/>
  <c r="K6" i="2"/>
  <c r="O4" i="5"/>
  <c r="O4" i="4"/>
  <c r="O9" i="4" s="1"/>
  <c r="J23" i="2"/>
  <c r="O9" i="3"/>
  <c r="O7" i="1" l="1"/>
  <c r="O9" i="1" s="1"/>
  <c r="N7" i="1" s="1"/>
  <c r="O9" i="7"/>
  <c r="N4" i="7" s="1"/>
  <c r="O9" i="5"/>
  <c r="O10" i="4"/>
  <c r="O11" i="4" s="1"/>
  <c r="N5" i="4"/>
  <c r="N7" i="4"/>
  <c r="N6" i="4"/>
  <c r="N4" i="4"/>
  <c r="N4" i="3"/>
  <c r="N5" i="3"/>
  <c r="O10" i="3"/>
  <c r="O11" i="3" s="1"/>
  <c r="N6" i="3"/>
  <c r="N7" i="3"/>
  <c r="O10" i="7" l="1"/>
  <c r="O11" i="7" s="1"/>
  <c r="N6" i="7"/>
  <c r="N5" i="7"/>
  <c r="N7" i="7"/>
  <c r="O10" i="5"/>
  <c r="O11" i="5" s="1"/>
  <c r="N5" i="5"/>
  <c r="N6" i="5"/>
  <c r="N7" i="5"/>
  <c r="N4" i="5"/>
  <c r="N5" i="1"/>
  <c r="N4" i="1"/>
  <c r="N6" i="1"/>
  <c r="O10" i="1"/>
  <c r="O11" i="1" s="1"/>
</calcChain>
</file>

<file path=xl/sharedStrings.xml><?xml version="1.0" encoding="utf-8"?>
<sst xmlns="http://schemas.openxmlformats.org/spreadsheetml/2006/main" count="419" uniqueCount="53">
  <si>
    <t>Box Interior RH (%)</t>
  </si>
  <si>
    <t>Box Exterior RH (%)</t>
  </si>
  <si>
    <t>Rectangular Box Dimensions</t>
  </si>
  <si>
    <t>Length (ft)</t>
  </si>
  <si>
    <t>Depth (ft)</t>
  </si>
  <si>
    <t>Height (ft)</t>
  </si>
  <si>
    <t>Floor type</t>
  </si>
  <si>
    <t>Box Location</t>
  </si>
  <si>
    <t>Input Parameters</t>
  </si>
  <si>
    <t xml:space="preserve">Input Values </t>
  </si>
  <si>
    <t>Box Interior Temp (F)</t>
  </si>
  <si>
    <t>Box Exterior Temp (F)</t>
  </si>
  <si>
    <t>Wall Load</t>
  </si>
  <si>
    <t>Product Load</t>
  </si>
  <si>
    <t xml:space="preserve">Miscellaneous Load </t>
  </si>
  <si>
    <t xml:space="preserve">Infiltration Load </t>
  </si>
  <si>
    <t xml:space="preserve">Total Hourly Load </t>
  </si>
  <si>
    <t>Total Load Required</t>
  </si>
  <si>
    <t xml:space="preserve">Capacity required </t>
  </si>
  <si>
    <t>Output Table</t>
  </si>
  <si>
    <t>System Run time</t>
  </si>
  <si>
    <t xml:space="preserve">Safety Factor </t>
  </si>
  <si>
    <t>On Grade</t>
  </si>
  <si>
    <t>Indoor</t>
  </si>
  <si>
    <t>Tc_out</t>
  </si>
  <si>
    <t>Tc_in</t>
  </si>
  <si>
    <t>W_out</t>
  </si>
  <si>
    <t>e_out</t>
  </si>
  <si>
    <t>e_in</t>
  </si>
  <si>
    <t>W_in</t>
  </si>
  <si>
    <t xml:space="preserve">Rated Power </t>
  </si>
  <si>
    <t>Volume Range</t>
  </si>
  <si>
    <t>Quantity</t>
  </si>
  <si>
    <t>Teff</t>
  </si>
  <si>
    <t>Q floor</t>
  </si>
  <si>
    <t>Above Grade</t>
  </si>
  <si>
    <t>Tf_out</t>
  </si>
  <si>
    <t>Tf_in</t>
  </si>
  <si>
    <t>Load</t>
  </si>
  <si>
    <t>NA</t>
  </si>
  <si>
    <t>h_out</t>
  </si>
  <si>
    <t>h_in</t>
  </si>
  <si>
    <t xml:space="preserve">dh </t>
  </si>
  <si>
    <t xml:space="preserve">General Walk in Cooler </t>
  </si>
  <si>
    <t>General Walk in Freezer</t>
  </si>
  <si>
    <t>Convenience Store Cooler</t>
  </si>
  <si>
    <t>Produce Cooler</t>
  </si>
  <si>
    <t>Above Grade (No gap)</t>
  </si>
  <si>
    <t>Warehouse Cooler</t>
  </si>
  <si>
    <t>Warehouse Freezer</t>
  </si>
  <si>
    <t>Floral Cooler</t>
  </si>
  <si>
    <t>Produce Warehouse</t>
  </si>
  <si>
    <t xml:space="preserve">Number of Doors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</si>
</sst>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0"/>
    <numFmt numFmtId="166" formatCode="0.000000"/>
    <numFmt numFmtId="167" formatCode="0.00000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8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9" fontId="0" fillId="0" borderId="0" xfId="1" applyFont="1"/>
    <xf numFmtId="2" fontId="0" fillId="0" borderId="0" xfId="0" applyNumberFormat="1"/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1" fontId="0" fillId="0" borderId="26" xfId="0" applyNumberFormat="1" applyBorder="1"/>
    <xf numFmtId="0" fontId="0" fillId="0" borderId="27" xfId="0" applyBorder="1"/>
    <xf numFmtId="0" fontId="0" fillId="0" borderId="17" xfId="0" applyBorder="1" applyAlignment="1">
      <alignment horizontal="center" vertical="center"/>
    </xf>
    <xf numFmtId="164" fontId="0" fillId="0" borderId="23" xfId="0" applyNumberFormat="1" applyBorder="1"/>
    <xf numFmtId="0" fontId="0" fillId="0" borderId="17" xfId="0" applyBorder="1"/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25" xfId="0" applyBorder="1" applyAlignment="1">
      <alignment horizontal="center"/>
    </xf>
    <xf numFmtId="0" fontId="0" fillId="0" borderId="17" xfId="0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0" fillId="0" borderId="29" xfId="0" applyBorder="1"/>
    <xf numFmtId="0" fontId="0" fillId="0" borderId="32" xfId="0" applyBorder="1"/>
    <xf numFmtId="0" fontId="0" fillId="0" borderId="0" xfId="0" applyAlignment="1">
      <alignment horizontal="center" vertical="center"/>
    </xf>
    <xf numFmtId="9" fontId="0" fillId="0" borderId="0" xfId="1" applyFont="1" applyBorder="1"/>
    <xf numFmtId="0" fontId="0" fillId="0" borderId="28" xfId="0" applyBorder="1"/>
    <xf numFmtId="167" fontId="0" fillId="0" borderId="26" xfId="0" applyNumberFormat="1" applyBorder="1"/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1" fontId="0" fillId="3" borderId="7" xfId="0" applyNumberFormat="1" applyFill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2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/>
    <xf numFmtId="0" fontId="0" fillId="0" borderId="34" xfId="0" applyBorder="1" applyAlignment="1">
      <alignment horizontal="center" vertical="center"/>
    </xf>
    <xf numFmtId="0" fontId="0" fillId="0" borderId="35" xfId="0" applyBorder="1"/>
    <xf numFmtId="0" fontId="0" fillId="0" borderId="34" xfId="0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fit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'Warehouse Freezer'!$Y$46:$Y$71</c:f>
              <c:numCache>
                <c:formatCode>General</c:formatCode>
                <c:ptCount val="26"/>
              </c:numCache>
            </c:numRef>
          </c:xVal>
          <c:yVal>
            <c:numRef>
              <c:f>'Warehouse Freezer'!$X$46:$X$71</c:f>
              <c:numCache>
                <c:formatCode>General</c:formatCode>
                <c:ptCount val="2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3E11-467C-B083-9D8BC645B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626879"/>
        <c:axId val="767610559"/>
      </c:scatterChart>
      <c:valAx>
        <c:axId val="76762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610559"/>
        <c:crosses val="autoZero"/>
        <c:crossBetween val="midCat"/>
      </c:valAx>
      <c:valAx>
        <c:axId val="76761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626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251460</xdr:colOff>
      <xdr:row>40</xdr:row>
      <xdr:rowOff>60960</xdr:rowOff>
    </xdr:from>
    <xdr:to>
      <xdr:col>34</xdr:col>
      <xdr:colOff>556260</xdr:colOff>
      <xdr:row>55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FDADF1-7C8B-D36F-84FD-3B46E464B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D439-3F9E-495D-A945-F792A99942F1}">
  <sheetPr codeName="Sheet1"/>
  <dimension ref="D2:S18"/>
  <sheetViews>
    <sheetView workbookViewId="0">
      <selection activeCell="E10" sqref="E10:G10"/>
    </sheetView>
  </sheetViews>
  <sheetFormatPr defaultRowHeight="14.4" x14ac:dyDescent="0.3"/>
  <cols>
    <col min="4" max="4" width="24.77734375" customWidth="1"/>
    <col min="12" max="12" width="11.5546875" bestFit="1" customWidth="1"/>
    <col min="17" max="17" width="12" bestFit="1" customWidth="1"/>
    <col min="18" max="18" width="16.21875" customWidth="1"/>
    <col min="19" max="19" width="9.5546875" bestFit="1" customWidth="1"/>
  </cols>
  <sheetData>
    <row r="2" spans="4:19" ht="15" thickBot="1" x14ac:dyDescent="0.35"/>
    <row r="3" spans="4:19" ht="15" thickBot="1" x14ac:dyDescent="0.35">
      <c r="D3" s="6" t="s">
        <v>8</v>
      </c>
      <c r="E3" s="44" t="s">
        <v>9</v>
      </c>
      <c r="F3" s="45"/>
      <c r="G3" s="46"/>
      <c r="K3" s="44" t="s">
        <v>19</v>
      </c>
      <c r="L3" s="45"/>
      <c r="M3" s="45"/>
      <c r="N3" s="45"/>
      <c r="O3" s="45"/>
      <c r="P3" s="46"/>
    </row>
    <row r="4" spans="4:19" x14ac:dyDescent="0.3">
      <c r="D4" s="1" t="s">
        <v>10</v>
      </c>
      <c r="E4" s="47">
        <v>35</v>
      </c>
      <c r="F4" s="48"/>
      <c r="G4" s="49"/>
      <c r="K4" s="53" t="s">
        <v>12</v>
      </c>
      <c r="L4" s="54"/>
      <c r="M4" s="54"/>
      <c r="N4" s="9">
        <f>O4/O9</f>
        <v>0.41714009569210198</v>
      </c>
      <c r="O4" s="41">
        <f>(1/28.57)*(E5-E4)*(2*E9*G9+2*F9*G9+E9*F9)+IF(E10= "On Grade",Background!K4,IF(E10= "Above Grade",Background!K5,Background!K6))</f>
        <v>1979.3331272210239</v>
      </c>
      <c r="P4" s="42"/>
      <c r="R4" t="s">
        <v>21</v>
      </c>
      <c r="S4" s="7">
        <v>10</v>
      </c>
    </row>
    <row r="5" spans="4:19" x14ac:dyDescent="0.3">
      <c r="D5" s="1" t="s">
        <v>11</v>
      </c>
      <c r="E5" s="50">
        <v>85</v>
      </c>
      <c r="F5" s="51"/>
      <c r="G5" s="52"/>
      <c r="K5" s="39" t="s">
        <v>13</v>
      </c>
      <c r="L5" s="40"/>
      <c r="M5" s="40"/>
      <c r="N5" s="9">
        <f>O5/O9</f>
        <v>0.13522983627903298</v>
      </c>
      <c r="O5" s="41">
        <f>2*E9*F9*G9*0.77*10/24</f>
        <v>641.66666666666663</v>
      </c>
      <c r="P5" s="42"/>
      <c r="R5" t="s">
        <v>20</v>
      </c>
      <c r="S5" s="3">
        <v>18</v>
      </c>
    </row>
    <row r="6" spans="4:19" x14ac:dyDescent="0.3">
      <c r="D6" s="1" t="s">
        <v>0</v>
      </c>
      <c r="E6" s="50">
        <v>80</v>
      </c>
      <c r="F6" s="51"/>
      <c r="G6" s="52"/>
      <c r="K6" s="39" t="s">
        <v>14</v>
      </c>
      <c r="L6" s="40"/>
      <c r="M6" s="40"/>
      <c r="N6" s="9">
        <f>O6/O9</f>
        <v>0.2156852804810068</v>
      </c>
      <c r="O6" s="41">
        <f>E9*F9*3.41+INDEX(Background!F4:F19, MATCH(E9*F9*G9, Background!C4:C19,1))</f>
        <v>1023.4284</v>
      </c>
      <c r="P6" s="42"/>
    </row>
    <row r="7" spans="4:19" x14ac:dyDescent="0.3">
      <c r="D7" s="1" t="s">
        <v>1</v>
      </c>
      <c r="E7" s="50">
        <v>55</v>
      </c>
      <c r="F7" s="51"/>
      <c r="G7" s="52"/>
      <c r="K7" s="39" t="s">
        <v>15</v>
      </c>
      <c r="L7" s="40"/>
      <c r="M7" s="40"/>
      <c r="N7" s="9">
        <f>O7/O9</f>
        <v>0.23194478754785824</v>
      </c>
      <c r="O7" s="41">
        <f>0.0001367*(E9*F9*G9)^(0.5425)*Background!J23*3412.142</f>
        <v>1100.579892513101</v>
      </c>
      <c r="P7" s="42"/>
    </row>
    <row r="8" spans="4:19" x14ac:dyDescent="0.3">
      <c r="D8" s="43" t="s">
        <v>2</v>
      </c>
      <c r="E8" s="2" t="s">
        <v>3</v>
      </c>
      <c r="F8" s="3" t="s">
        <v>4</v>
      </c>
      <c r="G8" s="4" t="s">
        <v>5</v>
      </c>
      <c r="K8" s="39"/>
      <c r="L8" s="40"/>
      <c r="M8" s="40"/>
      <c r="O8" s="55"/>
      <c r="P8" s="56"/>
      <c r="S8" s="10"/>
    </row>
    <row r="9" spans="4:19" x14ac:dyDescent="0.3">
      <c r="D9" s="43"/>
      <c r="E9" s="12">
        <v>10</v>
      </c>
      <c r="F9" s="11">
        <v>10</v>
      </c>
      <c r="G9" s="13">
        <v>10</v>
      </c>
      <c r="K9" s="57" t="s">
        <v>16</v>
      </c>
      <c r="L9" s="55"/>
      <c r="M9" s="55"/>
      <c r="N9" s="55"/>
      <c r="O9" s="41">
        <f>O4+O5+O6+O7</f>
        <v>4745.0080864007914</v>
      </c>
      <c r="P9" s="56"/>
      <c r="S9" s="10"/>
    </row>
    <row r="10" spans="4:19" x14ac:dyDescent="0.3">
      <c r="D10" s="1" t="s">
        <v>6</v>
      </c>
      <c r="E10" s="57" t="s">
        <v>22</v>
      </c>
      <c r="F10" s="55"/>
      <c r="G10" s="56"/>
      <c r="K10" s="57" t="s">
        <v>17</v>
      </c>
      <c r="L10" s="55"/>
      <c r="M10" s="55"/>
      <c r="N10" s="55"/>
      <c r="O10" s="41">
        <f>O9*(100+S4)/100</f>
        <v>5219.5088950408708</v>
      </c>
      <c r="P10" s="42"/>
    </row>
    <row r="11" spans="4:19" ht="15" thickBot="1" x14ac:dyDescent="0.35">
      <c r="D11" s="5" t="s">
        <v>7</v>
      </c>
      <c r="E11" s="58" t="s">
        <v>23</v>
      </c>
      <c r="F11" s="59"/>
      <c r="G11" s="60"/>
      <c r="K11" s="58" t="s">
        <v>18</v>
      </c>
      <c r="L11" s="59"/>
      <c r="M11" s="59"/>
      <c r="N11" s="59"/>
      <c r="O11" s="61">
        <f>O10*24/S5</f>
        <v>6959.3451933878277</v>
      </c>
      <c r="P11" s="62"/>
      <c r="S11" s="31"/>
    </row>
    <row r="14" spans="4:19" x14ac:dyDescent="0.3">
      <c r="D14" s="8"/>
    </row>
    <row r="15" spans="4:19" x14ac:dyDescent="0.3">
      <c r="H15" s="10"/>
    </row>
    <row r="16" spans="4:19" x14ac:dyDescent="0.3">
      <c r="L16" s="10"/>
    </row>
    <row r="17" spans="19:19" x14ac:dyDescent="0.3">
      <c r="S17" s="8"/>
    </row>
    <row r="18" spans="19:19" x14ac:dyDescent="0.3">
      <c r="S18" s="8"/>
    </row>
  </sheetData>
  <mergeCells count="25">
    <mergeCell ref="O8:P8"/>
    <mergeCell ref="K9:N9"/>
    <mergeCell ref="O9:P9"/>
    <mergeCell ref="E10:G10"/>
    <mergeCell ref="E11:G11"/>
    <mergeCell ref="O11:P11"/>
    <mergeCell ref="K11:N11"/>
    <mergeCell ref="K10:N10"/>
    <mergeCell ref="O10:P10"/>
    <mergeCell ref="K7:M7"/>
    <mergeCell ref="K8:M8"/>
    <mergeCell ref="O7:P7"/>
    <mergeCell ref="D8:D9"/>
    <mergeCell ref="E3:G3"/>
    <mergeCell ref="E4:G4"/>
    <mergeCell ref="E5:G5"/>
    <mergeCell ref="E6:G6"/>
    <mergeCell ref="E7:G7"/>
    <mergeCell ref="K3:P3"/>
    <mergeCell ref="K4:M4"/>
    <mergeCell ref="O4:P4"/>
    <mergeCell ref="O5:P5"/>
    <mergeCell ref="O6:P6"/>
    <mergeCell ref="K5:M5"/>
    <mergeCell ref="K6:M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C3657D-E522-4CB2-832B-594EE6059483}">
          <x14:formula1>
            <xm:f>Background!$I$4:$I$6</xm:f>
          </x14:formula1>
          <xm:sqref>E10:G10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38E4-817D-49A2-AEE6-BD4CA3DD0B0D}">
  <sheetPr codeName="Sheet2"/>
  <dimension ref="D2:S18"/>
  <sheetViews>
    <sheetView topLeftCell="B1" workbookViewId="0">
      <selection activeCell="G27" sqref="G27"/>
    </sheetView>
  </sheetViews>
  <sheetFormatPr defaultRowHeight="14.4" x14ac:dyDescent="0.3"/>
  <cols>
    <col min="4" max="4" width="24.88671875" customWidth="1"/>
    <col min="5" max="5" width="8.88671875" customWidth="1"/>
    <col min="18" max="18" width="15.6640625" customWidth="1"/>
    <col min="19" max="19" width="8.88671875" customWidth="1"/>
  </cols>
  <sheetData>
    <row r="2" spans="4:19" ht="15" thickBot="1" x14ac:dyDescent="0.35"/>
    <row r="3" spans="4:19" ht="15" thickBot="1" x14ac:dyDescent="0.35">
      <c r="D3" s="6" t="s">
        <v>8</v>
      </c>
      <c r="E3" s="44" t="s">
        <v>9</v>
      </c>
      <c r="F3" s="45"/>
      <c r="G3" s="46"/>
      <c r="K3" s="44" t="s">
        <v>19</v>
      </c>
      <c r="L3" s="45"/>
      <c r="M3" s="45"/>
      <c r="N3" s="45"/>
      <c r="O3" s="45"/>
      <c r="P3" s="46"/>
    </row>
    <row r="4" spans="4:19" x14ac:dyDescent="0.3">
      <c r="D4" s="1" t="s">
        <v>10</v>
      </c>
      <c r="E4" s="47">
        <v>-10</v>
      </c>
      <c r="F4" s="48"/>
      <c r="G4" s="49"/>
      <c r="K4" s="53" t="s">
        <v>12</v>
      </c>
      <c r="L4" s="54"/>
      <c r="M4" s="54"/>
      <c r="N4" s="9">
        <f>O4/O9</f>
        <v>0.42742668552515328</v>
      </c>
      <c r="O4" s="41">
        <f>(1/28.57)*(E5-E4)*(2*E9*G9+2*F9*G9+E9*F9)+IF(E10= "On Grade",Background!U4,Background!U5)</f>
        <v>2154.1935637933325</v>
      </c>
      <c r="P4" s="42"/>
      <c r="R4" t="s">
        <v>21</v>
      </c>
      <c r="S4" s="7">
        <v>10</v>
      </c>
    </row>
    <row r="5" spans="4:19" x14ac:dyDescent="0.3">
      <c r="D5" s="1" t="s">
        <v>11</v>
      </c>
      <c r="E5" s="50">
        <v>85</v>
      </c>
      <c r="F5" s="51"/>
      <c r="G5" s="52"/>
      <c r="K5" s="39" t="s">
        <v>13</v>
      </c>
      <c r="L5" s="40"/>
      <c r="M5" s="40"/>
      <c r="N5" s="9">
        <f>O5/O9</f>
        <v>3.5549551246022673E-2</v>
      </c>
      <c r="O5" s="41">
        <f>E9*F9*G9*0.43*10/24</f>
        <v>179.16666666666666</v>
      </c>
      <c r="P5" s="42"/>
      <c r="R5" t="s">
        <v>20</v>
      </c>
      <c r="S5" s="3">
        <v>18</v>
      </c>
    </row>
    <row r="6" spans="4:19" x14ac:dyDescent="0.3">
      <c r="D6" s="1" t="s">
        <v>0</v>
      </c>
      <c r="E6" s="50">
        <v>95</v>
      </c>
      <c r="F6" s="51"/>
      <c r="G6" s="52"/>
      <c r="K6" s="39" t="s">
        <v>14</v>
      </c>
      <c r="L6" s="40"/>
      <c r="M6" s="40"/>
      <c r="N6" s="9">
        <f>O6/O9</f>
        <v>0.19178093993101333</v>
      </c>
      <c r="O6" s="41">
        <f>E9*F9*3.41+INDEX(Background!P4:P20, MATCH(E9*F9*G9, Background!M4:M20,1))</f>
        <v>966.55936666666662</v>
      </c>
      <c r="P6" s="42"/>
    </row>
    <row r="7" spans="4:19" x14ac:dyDescent="0.3">
      <c r="D7" s="1" t="s">
        <v>1</v>
      </c>
      <c r="E7" s="50">
        <v>55</v>
      </c>
      <c r="F7" s="51"/>
      <c r="G7" s="52"/>
      <c r="K7" s="39" t="s">
        <v>15</v>
      </c>
      <c r="L7" s="40"/>
      <c r="M7" s="40"/>
      <c r="N7" s="9">
        <f>O7/O9</f>
        <v>0.34524282329781081</v>
      </c>
      <c r="O7" s="41">
        <f>0.0001367*(E9*F9*G9)^(0.5425)*Background!T23*3412.142</f>
        <v>1739.9939991585206</v>
      </c>
      <c r="P7" s="42"/>
    </row>
    <row r="8" spans="4:19" x14ac:dyDescent="0.3">
      <c r="D8" s="43" t="s">
        <v>2</v>
      </c>
      <c r="E8" s="2" t="s">
        <v>3</v>
      </c>
      <c r="F8" s="3" t="s">
        <v>4</v>
      </c>
      <c r="G8" s="4" t="s">
        <v>5</v>
      </c>
      <c r="K8" s="39"/>
      <c r="L8" s="40"/>
      <c r="M8" s="40"/>
      <c r="O8" s="55"/>
      <c r="P8" s="56"/>
      <c r="S8" s="10"/>
    </row>
    <row r="9" spans="4:19" x14ac:dyDescent="0.3">
      <c r="D9" s="43"/>
      <c r="E9" s="12">
        <v>10</v>
      </c>
      <c r="F9" s="11">
        <v>10</v>
      </c>
      <c r="G9" s="13">
        <v>10</v>
      </c>
      <c r="K9" s="57" t="s">
        <v>16</v>
      </c>
      <c r="L9" s="55"/>
      <c r="M9" s="55"/>
      <c r="N9" s="55"/>
      <c r="O9" s="41">
        <f>O4+O5+O6+O7</f>
        <v>5039.913596285186</v>
      </c>
      <c r="P9" s="56"/>
      <c r="S9" s="10"/>
    </row>
    <row r="10" spans="4:19" x14ac:dyDescent="0.3">
      <c r="D10" s="1" t="s">
        <v>6</v>
      </c>
      <c r="E10" s="57" t="s">
        <v>22</v>
      </c>
      <c r="F10" s="55"/>
      <c r="G10" s="56"/>
      <c r="K10" s="57" t="s">
        <v>17</v>
      </c>
      <c r="L10" s="55"/>
      <c r="M10" s="55"/>
      <c r="N10" s="55"/>
      <c r="O10" s="41">
        <f>O9*(100+S4)/100</f>
        <v>5543.9049559137047</v>
      </c>
      <c r="P10" s="42"/>
    </row>
    <row r="11" spans="4:19" ht="15" thickBot="1" x14ac:dyDescent="0.35">
      <c r="D11" s="5" t="s">
        <v>7</v>
      </c>
      <c r="E11" s="58" t="s">
        <v>23</v>
      </c>
      <c r="F11" s="59"/>
      <c r="G11" s="60"/>
      <c r="K11" s="58" t="s">
        <v>18</v>
      </c>
      <c r="L11" s="59"/>
      <c r="M11" s="59"/>
      <c r="N11" s="59"/>
      <c r="O11" s="61">
        <f>O10*24/S5</f>
        <v>7391.8732745516063</v>
      </c>
      <c r="P11" s="62"/>
      <c r="S11" s="32"/>
    </row>
    <row r="17" spans="19:19" x14ac:dyDescent="0.3">
      <c r="S17" s="8"/>
    </row>
    <row r="18" spans="19:19" x14ac:dyDescent="0.3">
      <c r="S18" s="8"/>
    </row>
  </sheetData>
  <mergeCells count="25">
    <mergeCell ref="D8:D9"/>
    <mergeCell ref="E10:G10"/>
    <mergeCell ref="E11:G11"/>
    <mergeCell ref="K11:N11"/>
    <mergeCell ref="O11:P11"/>
    <mergeCell ref="K10:N10"/>
    <mergeCell ref="O10:P10"/>
    <mergeCell ref="K8:M8"/>
    <mergeCell ref="O8:P8"/>
    <mergeCell ref="K9:N9"/>
    <mergeCell ref="O9:P9"/>
    <mergeCell ref="E3:G3"/>
    <mergeCell ref="E4:G4"/>
    <mergeCell ref="E5:G5"/>
    <mergeCell ref="E6:G6"/>
    <mergeCell ref="E7:G7"/>
    <mergeCell ref="K6:M6"/>
    <mergeCell ref="O6:P6"/>
    <mergeCell ref="K7:M7"/>
    <mergeCell ref="K3:P3"/>
    <mergeCell ref="K4:M4"/>
    <mergeCell ref="O4:P4"/>
    <mergeCell ref="K5:M5"/>
    <mergeCell ref="O5:P5"/>
    <mergeCell ref="O7:P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11F8A7-A16C-4EAF-9D28-6C4C1C014479}">
          <x14:formula1>
            <xm:f>Background!$I$4:$I$5</xm:f>
          </x14:formula1>
          <xm:sqref>E10:G10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83E5-35D4-4106-A9AA-027D0D1D64E7}">
  <sheetPr codeName="Sheet3"/>
  <dimension ref="D2:S18"/>
  <sheetViews>
    <sheetView topLeftCell="A2" workbookViewId="0">
      <selection activeCell="E10" sqref="E10:G10"/>
    </sheetView>
  </sheetViews>
  <sheetFormatPr defaultRowHeight="14.4" x14ac:dyDescent="0.3"/>
  <cols>
    <col min="4" max="4" width="25" customWidth="1"/>
    <col min="18" max="18" width="16" customWidth="1"/>
    <col min="19" max="19" width="9.5546875" bestFit="1" customWidth="1"/>
  </cols>
  <sheetData>
    <row r="2" spans="4:19" ht="15" thickBot="1" x14ac:dyDescent="0.35"/>
    <row r="3" spans="4:19" ht="15" thickBot="1" x14ac:dyDescent="0.35">
      <c r="D3" s="6" t="s">
        <v>8</v>
      </c>
      <c r="E3" s="44" t="s">
        <v>9</v>
      </c>
      <c r="F3" s="45"/>
      <c r="G3" s="46"/>
      <c r="K3" s="44" t="s">
        <v>19</v>
      </c>
      <c r="L3" s="45"/>
      <c r="M3" s="45"/>
      <c r="N3" s="45"/>
      <c r="O3" s="45"/>
      <c r="P3" s="46"/>
    </row>
    <row r="4" spans="4:19" x14ac:dyDescent="0.3">
      <c r="D4" s="1" t="s">
        <v>10</v>
      </c>
      <c r="E4" s="47">
        <v>40</v>
      </c>
      <c r="F4" s="48"/>
      <c r="G4" s="49"/>
      <c r="K4" s="53" t="s">
        <v>12</v>
      </c>
      <c r="L4" s="54"/>
      <c r="M4" s="54"/>
      <c r="N4" s="9">
        <f>O4/O9</f>
        <v>0.21994748399460673</v>
      </c>
      <c r="O4" s="41">
        <f>(1/28.57)*(E5-E4)*(2*E9*G9+2*F9*G9+E9*F9)+IF(E10= "On Grade",Background!K29,Background!K30)</f>
        <v>35659.187001762679</v>
      </c>
      <c r="P4" s="42"/>
      <c r="R4" t="s">
        <v>21</v>
      </c>
      <c r="S4" s="7">
        <v>10</v>
      </c>
    </row>
    <row r="5" spans="4:19" x14ac:dyDescent="0.3">
      <c r="D5" s="1" t="s">
        <v>11</v>
      </c>
      <c r="E5" s="50">
        <v>85</v>
      </c>
      <c r="F5" s="51"/>
      <c r="G5" s="52"/>
      <c r="K5" s="39" t="s">
        <v>13</v>
      </c>
      <c r="L5" s="40"/>
      <c r="M5" s="40"/>
      <c r="N5" s="9">
        <f>O5/O9</f>
        <v>0.53430693190203682</v>
      </c>
      <c r="O5" s="41">
        <f>2*E9*F9*G9*10*0.77/16</f>
        <v>86625</v>
      </c>
      <c r="P5" s="42"/>
      <c r="R5" t="s">
        <v>20</v>
      </c>
      <c r="S5" s="3">
        <v>16</v>
      </c>
    </row>
    <row r="6" spans="4:19" x14ac:dyDescent="0.3">
      <c r="D6" s="1" t="s">
        <v>0</v>
      </c>
      <c r="E6" s="50">
        <v>78</v>
      </c>
      <c r="F6" s="51"/>
      <c r="G6" s="52"/>
      <c r="K6" s="39" t="s">
        <v>14</v>
      </c>
      <c r="L6" s="40"/>
      <c r="M6" s="40"/>
      <c r="N6" s="9">
        <f>O6/O9</f>
        <v>0.12371229492954672</v>
      </c>
      <c r="O6" s="41">
        <f>E9*F9*3.41+INDEX(Background!F29:F44, MATCH(E9*F9*G9, Background!C29:C44,1))</f>
        <v>20056.968959999998</v>
      </c>
      <c r="P6" s="42"/>
    </row>
    <row r="7" spans="4:19" x14ac:dyDescent="0.3">
      <c r="D7" s="1" t="s">
        <v>1</v>
      </c>
      <c r="E7" s="50">
        <v>55</v>
      </c>
      <c r="F7" s="51"/>
      <c r="G7" s="52"/>
      <c r="K7" s="39" t="s">
        <v>15</v>
      </c>
      <c r="L7" s="40"/>
      <c r="M7" s="40"/>
      <c r="N7" s="9">
        <f>O7/O9</f>
        <v>0.12203328917380984</v>
      </c>
      <c r="O7" s="41">
        <f>1.7*0.0001367*(E9*F9*G9)^(0.5425)*Background!J48*3412.142</f>
        <v>19784.758616269377</v>
      </c>
      <c r="P7" s="42"/>
    </row>
    <row r="8" spans="4:19" x14ac:dyDescent="0.3">
      <c r="D8" s="63" t="s">
        <v>2</v>
      </c>
      <c r="E8" s="2" t="s">
        <v>3</v>
      </c>
      <c r="F8" s="3" t="s">
        <v>4</v>
      </c>
      <c r="G8" s="4" t="s">
        <v>5</v>
      </c>
      <c r="K8" s="39"/>
      <c r="L8" s="40"/>
      <c r="M8" s="40"/>
      <c r="O8" s="55"/>
      <c r="P8" s="56"/>
      <c r="S8" s="10"/>
    </row>
    <row r="9" spans="4:19" x14ac:dyDescent="0.3">
      <c r="D9" s="63"/>
      <c r="E9" s="12">
        <v>60</v>
      </c>
      <c r="F9" s="11">
        <v>50</v>
      </c>
      <c r="G9" s="13">
        <v>30</v>
      </c>
      <c r="K9" s="57" t="s">
        <v>16</v>
      </c>
      <c r="L9" s="55"/>
      <c r="M9" s="55"/>
      <c r="N9" s="55"/>
      <c r="O9" s="41">
        <f>O4+O5+O6+O7</f>
        <v>162125.91457803204</v>
      </c>
      <c r="P9" s="56"/>
      <c r="S9" s="10"/>
    </row>
    <row r="10" spans="4:19" x14ac:dyDescent="0.3">
      <c r="D10" s="1" t="s">
        <v>6</v>
      </c>
      <c r="E10" s="57" t="s">
        <v>22</v>
      </c>
      <c r="F10" s="55"/>
      <c r="G10" s="56"/>
      <c r="K10" s="57" t="s">
        <v>17</v>
      </c>
      <c r="L10" s="55"/>
      <c r="M10" s="55"/>
      <c r="N10" s="55"/>
      <c r="O10" s="41">
        <f>O9*(100+S4)/100</f>
        <v>178338.50603583525</v>
      </c>
      <c r="P10" s="42"/>
    </row>
    <row r="11" spans="4:19" ht="15" thickBot="1" x14ac:dyDescent="0.35">
      <c r="D11" s="5" t="s">
        <v>7</v>
      </c>
      <c r="E11" s="58" t="s">
        <v>23</v>
      </c>
      <c r="F11" s="59"/>
      <c r="G11" s="60"/>
      <c r="K11" s="58" t="s">
        <v>18</v>
      </c>
      <c r="L11" s="59"/>
      <c r="M11" s="59"/>
      <c r="N11" s="59"/>
      <c r="O11" s="61">
        <f>O10*24/S5</f>
        <v>267507.75905375287</v>
      </c>
      <c r="P11" s="62"/>
      <c r="S11" s="31"/>
    </row>
    <row r="17" spans="19:19" x14ac:dyDescent="0.3">
      <c r="S17" s="8"/>
    </row>
    <row r="18" spans="19:19" x14ac:dyDescent="0.3">
      <c r="S18" s="8"/>
    </row>
  </sheetData>
  <mergeCells count="25">
    <mergeCell ref="K11:N11"/>
    <mergeCell ref="O11:P11"/>
    <mergeCell ref="O7:P7"/>
    <mergeCell ref="K8:M8"/>
    <mergeCell ref="O8:P8"/>
    <mergeCell ref="K9:N9"/>
    <mergeCell ref="O9:P9"/>
    <mergeCell ref="K10:N10"/>
    <mergeCell ref="O10:P10"/>
    <mergeCell ref="D8:D9"/>
    <mergeCell ref="E10:G10"/>
    <mergeCell ref="E11:G11"/>
    <mergeCell ref="K3:P3"/>
    <mergeCell ref="K4:M4"/>
    <mergeCell ref="O4:P4"/>
    <mergeCell ref="K5:M5"/>
    <mergeCell ref="O5:P5"/>
    <mergeCell ref="K6:M6"/>
    <mergeCell ref="O6:P6"/>
    <mergeCell ref="K7:M7"/>
    <mergeCell ref="E3:G3"/>
    <mergeCell ref="E4:G4"/>
    <mergeCell ref="E5:G5"/>
    <mergeCell ref="E6:G6"/>
    <mergeCell ref="E7:G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628FB2-ECC7-4C5A-BEBE-7477F173FBA0}">
          <x14:formula1>
            <xm:f>Background!$I$4:$I$5</xm:f>
          </x14:formula1>
          <xm:sqref>E10:G10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75E8A-2EE6-4FFA-B509-546AE2836861}">
  <sheetPr codeName="Sheet4"/>
  <dimension ref="D2:S18"/>
  <sheetViews>
    <sheetView topLeftCell="C1" workbookViewId="0">
      <selection activeCell="E10" sqref="E10:G10"/>
    </sheetView>
  </sheetViews>
  <sheetFormatPr defaultRowHeight="14.4" x14ac:dyDescent="0.3"/>
  <cols>
    <col min="4" max="4" width="19.77734375" customWidth="1"/>
    <col min="18" max="18" width="15.5546875" customWidth="1"/>
  </cols>
  <sheetData>
    <row r="2" spans="4:19" ht="15" thickBot="1" x14ac:dyDescent="0.35"/>
    <row r="3" spans="4:19" ht="15" thickBot="1" x14ac:dyDescent="0.35">
      <c r="D3" s="6" t="s">
        <v>8</v>
      </c>
      <c r="E3" s="44" t="s">
        <v>9</v>
      </c>
      <c r="F3" s="45"/>
      <c r="G3" s="46"/>
      <c r="K3" s="44" t="s">
        <v>19</v>
      </c>
      <c r="L3" s="45"/>
      <c r="M3" s="45"/>
      <c r="N3" s="45"/>
      <c r="O3" s="45"/>
      <c r="P3" s="46"/>
    </row>
    <row r="4" spans="4:19" x14ac:dyDescent="0.3">
      <c r="D4" s="1" t="s">
        <v>10</v>
      </c>
      <c r="E4" s="47">
        <v>30</v>
      </c>
      <c r="F4" s="48"/>
      <c r="G4" s="49"/>
      <c r="K4" s="39" t="s">
        <v>12</v>
      </c>
      <c r="L4" s="40"/>
      <c r="M4" s="40"/>
      <c r="N4" s="36">
        <f>O4/O9</f>
        <v>0.22876075069078319</v>
      </c>
      <c r="O4" s="41">
        <f>(1/28.57)*(E5-E4)*(2*E9*G9+2*F9*G9+E9*F9)+IF(E10= "On Grade",Background!U29,Background!U30)</f>
        <v>36117.138284437991</v>
      </c>
      <c r="P4" s="42"/>
      <c r="R4" t="s">
        <v>21</v>
      </c>
      <c r="S4" s="7">
        <v>10</v>
      </c>
    </row>
    <row r="5" spans="4:19" x14ac:dyDescent="0.3">
      <c r="D5" s="1" t="s">
        <v>11</v>
      </c>
      <c r="E5" s="50">
        <v>85</v>
      </c>
      <c r="F5" s="51"/>
      <c r="G5" s="52"/>
      <c r="K5" s="39" t="s">
        <v>13</v>
      </c>
      <c r="L5" s="40"/>
      <c r="M5" s="40"/>
      <c r="N5" s="36">
        <f>O5/O9</f>
        <v>0.54867027039978711</v>
      </c>
      <c r="O5" s="41">
        <f>2*E9*F9*G9*10*0.77/16</f>
        <v>86625</v>
      </c>
      <c r="P5" s="42"/>
      <c r="R5" t="s">
        <v>20</v>
      </c>
      <c r="S5" s="3">
        <v>16</v>
      </c>
    </row>
    <row r="6" spans="4:19" x14ac:dyDescent="0.3">
      <c r="D6" s="1" t="s">
        <v>0</v>
      </c>
      <c r="E6" s="50">
        <v>87</v>
      </c>
      <c r="F6" s="51"/>
      <c r="G6" s="52"/>
      <c r="K6" s="39" t="s">
        <v>14</v>
      </c>
      <c r="L6" s="40"/>
      <c r="M6" s="40"/>
      <c r="N6" s="36">
        <f>O6/O9</f>
        <v>0.12703795189244832</v>
      </c>
      <c r="O6" s="41">
        <f>E9*F9*3.41+INDEX(Background!P29:P44, MATCH(E9*F9*G9,Background!M29:M44,1))</f>
        <v>20056.968959999998</v>
      </c>
      <c r="P6" s="42"/>
    </row>
    <row r="7" spans="4:19" x14ac:dyDescent="0.3">
      <c r="D7" s="1" t="s">
        <v>1</v>
      </c>
      <c r="E7" s="50">
        <v>55</v>
      </c>
      <c r="F7" s="51"/>
      <c r="G7" s="52"/>
      <c r="K7" s="39" t="s">
        <v>15</v>
      </c>
      <c r="L7" s="40"/>
      <c r="M7" s="40"/>
      <c r="N7" s="36">
        <f>O7/O9</f>
        <v>9.553102701698149E-2</v>
      </c>
      <c r="O7" s="41">
        <f>EXP(-0.76578)*((E9*F9*G9)^(0.604316))*(Background!T48^0.855344)</f>
        <v>15082.601813501198</v>
      </c>
      <c r="P7" s="42"/>
    </row>
    <row r="8" spans="4:19" x14ac:dyDescent="0.3">
      <c r="D8" s="63" t="s">
        <v>2</v>
      </c>
      <c r="E8" s="2" t="s">
        <v>3</v>
      </c>
      <c r="F8" s="3" t="s">
        <v>4</v>
      </c>
      <c r="G8" s="4" t="s">
        <v>5</v>
      </c>
      <c r="K8" s="39"/>
      <c r="L8" s="40"/>
      <c r="M8" s="40"/>
      <c r="O8" s="55"/>
      <c r="P8" s="56"/>
      <c r="S8" s="10"/>
    </row>
    <row r="9" spans="4:19" x14ac:dyDescent="0.3">
      <c r="D9" s="63"/>
      <c r="E9" s="12">
        <v>50</v>
      </c>
      <c r="F9" s="11">
        <v>60</v>
      </c>
      <c r="G9" s="13">
        <v>30</v>
      </c>
      <c r="K9" s="57" t="s">
        <v>16</v>
      </c>
      <c r="L9" s="55"/>
      <c r="M9" s="55"/>
      <c r="N9" s="55"/>
      <c r="O9" s="41">
        <f>O4+O5+O6+O7</f>
        <v>157881.70905793918</v>
      </c>
      <c r="P9" s="56"/>
      <c r="S9" s="10"/>
    </row>
    <row r="10" spans="4:19" x14ac:dyDescent="0.3">
      <c r="D10" s="1" t="s">
        <v>6</v>
      </c>
      <c r="E10" s="57" t="s">
        <v>22</v>
      </c>
      <c r="F10" s="55"/>
      <c r="G10" s="56"/>
      <c r="K10" s="57" t="s">
        <v>17</v>
      </c>
      <c r="L10" s="55"/>
      <c r="M10" s="55"/>
      <c r="N10" s="55"/>
      <c r="O10" s="41">
        <f>O9*(100+S4)/100</f>
        <v>173669.87996373311</v>
      </c>
      <c r="P10" s="42"/>
    </row>
    <row r="11" spans="4:19" ht="15" thickBot="1" x14ac:dyDescent="0.35">
      <c r="D11" s="5" t="s">
        <v>7</v>
      </c>
      <c r="E11" s="58" t="s">
        <v>23</v>
      </c>
      <c r="F11" s="59"/>
      <c r="G11" s="60"/>
      <c r="K11" s="58" t="s">
        <v>18</v>
      </c>
      <c r="L11" s="59"/>
      <c r="M11" s="59"/>
      <c r="N11" s="59"/>
      <c r="O11" s="61">
        <f>O10*24/S5</f>
        <v>260504.81994559965</v>
      </c>
      <c r="P11" s="62"/>
      <c r="S11" s="32"/>
    </row>
    <row r="14" spans="4:19" x14ac:dyDescent="0.3">
      <c r="D14" s="35"/>
    </row>
    <row r="17" spans="19:19" x14ac:dyDescent="0.3">
      <c r="S17" s="8"/>
    </row>
    <row r="18" spans="19:19" x14ac:dyDescent="0.3">
      <c r="S18" s="8"/>
    </row>
  </sheetData>
  <mergeCells count="25">
    <mergeCell ref="E5:G5"/>
    <mergeCell ref="K5:M5"/>
    <mergeCell ref="O5:P5"/>
    <mergeCell ref="E3:G3"/>
    <mergeCell ref="K3:P3"/>
    <mergeCell ref="E4:G4"/>
    <mergeCell ref="K4:M4"/>
    <mergeCell ref="O4:P4"/>
    <mergeCell ref="E6:G6"/>
    <mergeCell ref="K6:M6"/>
    <mergeCell ref="O6:P6"/>
    <mergeCell ref="E7:G7"/>
    <mergeCell ref="K7:M7"/>
    <mergeCell ref="O7:P7"/>
    <mergeCell ref="E11:G11"/>
    <mergeCell ref="K11:N11"/>
    <mergeCell ref="O11:P11"/>
    <mergeCell ref="D8:D9"/>
    <mergeCell ref="K8:M8"/>
    <mergeCell ref="O8:P8"/>
    <mergeCell ref="K9:N9"/>
    <mergeCell ref="O9:P9"/>
    <mergeCell ref="E10:G10"/>
    <mergeCell ref="K10:N10"/>
    <mergeCell ref="O10:P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D4A27B-56F8-4EB5-8698-1EFF31051027}">
          <x14:formula1>
            <xm:f>Background!$I$4:$I$5</xm:f>
          </x14:formula1>
          <xm:sqref>E10:G10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51AB-9132-489C-BD88-995636ABBA55}">
  <sheetPr codeName="Sheet5"/>
  <dimension ref="D2:S11"/>
  <sheetViews>
    <sheetView workbookViewId="0">
      <selection activeCell="E10" sqref="E10:G10"/>
    </sheetView>
  </sheetViews>
  <sheetFormatPr defaultRowHeight="14.4" x14ac:dyDescent="0.3"/>
  <cols>
    <col min="4" max="4" width="25.5546875" customWidth="1"/>
    <col min="14" max="14" width="12" bestFit="1" customWidth="1"/>
    <col min="18" max="18" width="16.33203125" customWidth="1"/>
  </cols>
  <sheetData>
    <row r="2" spans="4:19" ht="15" thickBot="1" x14ac:dyDescent="0.35"/>
    <row r="3" spans="4:19" ht="15" thickBot="1" x14ac:dyDescent="0.35">
      <c r="D3" s="6" t="s">
        <v>8</v>
      </c>
      <c r="E3" s="44" t="s">
        <v>9</v>
      </c>
      <c r="F3" s="45"/>
      <c r="G3" s="46"/>
      <c r="K3" s="44" t="s">
        <v>19</v>
      </c>
      <c r="L3" s="45"/>
      <c r="M3" s="45"/>
      <c r="N3" s="45"/>
      <c r="O3" s="45"/>
      <c r="P3" s="46"/>
    </row>
    <row r="4" spans="4:19" x14ac:dyDescent="0.3">
      <c r="D4" s="1" t="s">
        <v>10</v>
      </c>
      <c r="E4" s="47">
        <v>40</v>
      </c>
      <c r="F4" s="48"/>
      <c r="G4" s="49"/>
      <c r="K4" s="39" t="s">
        <v>12</v>
      </c>
      <c r="L4" s="40"/>
      <c r="M4" s="40"/>
      <c r="N4" s="36">
        <f>O4/O9</f>
        <v>0.30348883793166204</v>
      </c>
      <c r="O4" s="41">
        <f>(1/28.57)*(E5-E4)*(2*E9*G9+2*F9*G9+E9*F9)+IF(E10= "On Grade",Background!K54,Background!K55)</f>
        <v>34094.466755740003</v>
      </c>
      <c r="P4" s="42"/>
      <c r="R4" t="s">
        <v>21</v>
      </c>
      <c r="S4" s="7">
        <v>10</v>
      </c>
    </row>
    <row r="5" spans="4:19" x14ac:dyDescent="0.3">
      <c r="D5" s="1" t="s">
        <v>11</v>
      </c>
      <c r="E5" s="50">
        <v>85</v>
      </c>
      <c r="F5" s="51"/>
      <c r="G5" s="52"/>
      <c r="K5" s="39" t="s">
        <v>13</v>
      </c>
      <c r="L5" s="40"/>
      <c r="M5" s="40"/>
      <c r="N5" s="36">
        <f>O5/O9</f>
        <v>0.10698810470095446</v>
      </c>
      <c r="O5" s="41">
        <f>E9*F9*G9/3.003*10*0.77/24</f>
        <v>12019.230769230768</v>
      </c>
      <c r="P5" s="42"/>
      <c r="R5" t="s">
        <v>20</v>
      </c>
      <c r="S5" s="3">
        <v>16</v>
      </c>
    </row>
    <row r="6" spans="4:19" x14ac:dyDescent="0.3">
      <c r="D6" s="1" t="s">
        <v>0</v>
      </c>
      <c r="E6" s="50">
        <v>83</v>
      </c>
      <c r="F6" s="51"/>
      <c r="G6" s="52"/>
      <c r="K6" s="39" t="s">
        <v>14</v>
      </c>
      <c r="L6" s="40"/>
      <c r="M6" s="40"/>
      <c r="N6" s="36">
        <f>O6/O9</f>
        <v>0.46228529049812339</v>
      </c>
      <c r="O6" s="41">
        <f>5500+1190+E9*F9*3.412*2+INDEX(Background!F54:F69, MATCH(E9*F9*G9, Background!C54:C69,1))</f>
        <v>51933.937919999997</v>
      </c>
      <c r="P6" s="42"/>
    </row>
    <row r="7" spans="4:19" x14ac:dyDescent="0.3">
      <c r="D7" s="1" t="s">
        <v>1</v>
      </c>
      <c r="E7" s="50">
        <v>55</v>
      </c>
      <c r="F7" s="51"/>
      <c r="G7" s="52"/>
      <c r="K7" s="39" t="s">
        <v>15</v>
      </c>
      <c r="L7" s="40"/>
      <c r="M7" s="40"/>
      <c r="N7" s="36">
        <f>O7/O9</f>
        <v>0.12723776686925997</v>
      </c>
      <c r="O7" s="41">
        <f>EXP(-2.12574098749113)*((E9*F9*G9)^(0.671769546909657))*(Background!J73^0.989037300244508)</f>
        <v>14294.113227239715</v>
      </c>
      <c r="P7" s="42"/>
    </row>
    <row r="8" spans="4:19" x14ac:dyDescent="0.3">
      <c r="D8" s="63" t="s">
        <v>2</v>
      </c>
      <c r="E8" s="2" t="s">
        <v>3</v>
      </c>
      <c r="F8" s="3" t="s">
        <v>4</v>
      </c>
      <c r="G8" s="4" t="s">
        <v>5</v>
      </c>
      <c r="K8" s="39"/>
      <c r="L8" s="40"/>
      <c r="M8" s="40"/>
      <c r="O8" s="55"/>
      <c r="P8" s="56"/>
    </row>
    <row r="9" spans="4:19" x14ac:dyDescent="0.3">
      <c r="D9" s="63"/>
      <c r="E9" s="12">
        <v>75</v>
      </c>
      <c r="F9" s="11">
        <v>50</v>
      </c>
      <c r="G9" s="13">
        <v>30</v>
      </c>
      <c r="K9" s="57" t="s">
        <v>16</v>
      </c>
      <c r="L9" s="55"/>
      <c r="M9" s="55"/>
      <c r="N9" s="55"/>
      <c r="O9" s="41">
        <f>O4+O5+O6+O7</f>
        <v>112341.74867221049</v>
      </c>
      <c r="P9" s="56"/>
    </row>
    <row r="10" spans="4:19" x14ac:dyDescent="0.3">
      <c r="D10" s="1" t="s">
        <v>6</v>
      </c>
      <c r="E10" s="57" t="s">
        <v>22</v>
      </c>
      <c r="F10" s="55"/>
      <c r="G10" s="56"/>
      <c r="K10" s="57" t="s">
        <v>17</v>
      </c>
      <c r="L10" s="55"/>
      <c r="M10" s="55"/>
      <c r="N10" s="55"/>
      <c r="O10" s="41">
        <f>O9*(100+S4)/100</f>
        <v>123575.92353943155</v>
      </c>
      <c r="P10" s="42"/>
    </row>
    <row r="11" spans="4:19" ht="15" thickBot="1" x14ac:dyDescent="0.35">
      <c r="D11" s="5" t="s">
        <v>7</v>
      </c>
      <c r="E11" s="58" t="s">
        <v>23</v>
      </c>
      <c r="F11" s="59"/>
      <c r="G11" s="60"/>
      <c r="K11" s="58" t="s">
        <v>18</v>
      </c>
      <c r="L11" s="59"/>
      <c r="M11" s="59"/>
      <c r="N11" s="59"/>
      <c r="O11" s="61">
        <f>O10*24/S5</f>
        <v>185363.88530914733</v>
      </c>
      <c r="P11" s="62"/>
    </row>
  </sheetData>
  <mergeCells count="25">
    <mergeCell ref="E5:G5"/>
    <mergeCell ref="K5:M5"/>
    <mergeCell ref="O5:P5"/>
    <mergeCell ref="E3:G3"/>
    <mergeCell ref="K3:P3"/>
    <mergeCell ref="E4:G4"/>
    <mergeCell ref="K4:M4"/>
    <mergeCell ref="O4:P4"/>
    <mergeCell ref="E6:G6"/>
    <mergeCell ref="K6:M6"/>
    <mergeCell ref="O6:P6"/>
    <mergeCell ref="E7:G7"/>
    <mergeCell ref="K7:M7"/>
    <mergeCell ref="O7:P7"/>
    <mergeCell ref="E11:G11"/>
    <mergeCell ref="K11:N11"/>
    <mergeCell ref="O11:P11"/>
    <mergeCell ref="D8:D9"/>
    <mergeCell ref="K8:M8"/>
    <mergeCell ref="O8:P8"/>
    <mergeCell ref="K9:N9"/>
    <mergeCell ref="O9:P9"/>
    <mergeCell ref="E10:G10"/>
    <mergeCell ref="K10:N10"/>
    <mergeCell ref="O10:P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BAEC90-E860-4744-878F-11DAF28A182B}">
          <x14:formula1>
            <xm:f>Background!$I$4:$I$5</xm:f>
          </x14:formula1>
          <xm:sqref>E10:G10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856A-FD02-45CC-B694-5236BDE27392}">
  <sheetPr codeName="Sheet11"/>
  <dimension ref="D2:S45"/>
  <sheetViews>
    <sheetView workbookViewId="0">
      <selection activeCell="I19" sqref="I19"/>
    </sheetView>
  </sheetViews>
  <sheetFormatPr defaultRowHeight="14.4" x14ac:dyDescent="0.3"/>
  <cols>
    <col min="4" max="4" width="19.109375" customWidth="1"/>
    <col min="18" max="18" width="17.77734375" customWidth="1"/>
  </cols>
  <sheetData>
    <row r="2" spans="4:19" ht="15" thickBot="1" x14ac:dyDescent="0.35"/>
    <row r="3" spans="4:19" ht="15" thickBot="1" x14ac:dyDescent="0.35">
      <c r="D3" s="6" t="s">
        <v>8</v>
      </c>
      <c r="E3" s="44" t="s">
        <v>9</v>
      </c>
      <c r="F3" s="45"/>
      <c r="G3" s="46"/>
      <c r="K3" s="44" t="s">
        <v>19</v>
      </c>
      <c r="L3" s="45"/>
      <c r="M3" s="45"/>
      <c r="N3" s="45"/>
      <c r="O3" s="45"/>
      <c r="P3" s="46"/>
    </row>
    <row r="4" spans="4:19" x14ac:dyDescent="0.3">
      <c r="D4" s="1" t="s">
        <v>10</v>
      </c>
      <c r="E4" s="47">
        <v>-20</v>
      </c>
      <c r="F4" s="48"/>
      <c r="G4" s="49"/>
      <c r="K4" s="39" t="s">
        <v>12</v>
      </c>
      <c r="L4" s="40"/>
      <c r="M4" s="40"/>
      <c r="N4" s="36">
        <f>O4/O9</f>
        <v>0.37193927552466505</v>
      </c>
      <c r="O4" s="41">
        <f>(1/28.57)*(E5-E4)*(2*E9*G9+2*F9*G9+E9*F9)+IF(E10= "On Grade",Background!U54,Background!U55)</f>
        <v>39275.2594996033</v>
      </c>
      <c r="P4" s="42"/>
      <c r="R4" t="s">
        <v>21</v>
      </c>
      <c r="S4" s="7">
        <v>10</v>
      </c>
    </row>
    <row r="5" spans="4:19" x14ac:dyDescent="0.3">
      <c r="D5" s="1" t="s">
        <v>11</v>
      </c>
      <c r="E5" s="50">
        <v>85</v>
      </c>
      <c r="F5" s="51"/>
      <c r="G5" s="52"/>
      <c r="K5" s="39" t="s">
        <v>13</v>
      </c>
      <c r="L5" s="40"/>
      <c r="M5" s="40"/>
      <c r="N5" s="36">
        <f>O5/O9</f>
        <v>2.5425375350298214E-2</v>
      </c>
      <c r="O5" s="41">
        <f>E9*F9*G9/3.003*(10*0.43/24)</f>
        <v>2684.8151848151847</v>
      </c>
      <c r="P5" s="42"/>
      <c r="R5" t="s">
        <v>20</v>
      </c>
      <c r="S5" s="3">
        <v>18</v>
      </c>
    </row>
    <row r="6" spans="4:19" x14ac:dyDescent="0.3">
      <c r="D6" s="1" t="s">
        <v>0</v>
      </c>
      <c r="E6" s="50">
        <v>95</v>
      </c>
      <c r="F6" s="51"/>
      <c r="G6" s="52"/>
      <c r="K6" s="39" t="s">
        <v>14</v>
      </c>
      <c r="L6" s="40"/>
      <c r="M6" s="40"/>
      <c r="N6" s="36">
        <f>O6/O9</f>
        <v>0.48477856856655821</v>
      </c>
      <c r="O6" s="41">
        <f>5500+1880+E9*F9*3.412*2+INDEX(Background!P54:P70, MATCH(E9*F9*G9, Background!M54:M70,1))</f>
        <v>51190.62528</v>
      </c>
      <c r="P6" s="42"/>
    </row>
    <row r="7" spans="4:19" x14ac:dyDescent="0.3">
      <c r="D7" s="1" t="s">
        <v>1</v>
      </c>
      <c r="E7" s="50">
        <v>55</v>
      </c>
      <c r="F7" s="51"/>
      <c r="G7" s="52"/>
      <c r="K7" s="39" t="s">
        <v>15</v>
      </c>
      <c r="L7" s="40"/>
      <c r="M7" s="40"/>
      <c r="N7" s="36">
        <f>O7/O9</f>
        <v>0.11785678055847849</v>
      </c>
      <c r="O7" s="41">
        <f>0.0001299*(E9*F9*G9)^(0.5135)*Background!T73*3412.142</f>
        <v>12445.191849375107</v>
      </c>
      <c r="P7" s="42"/>
    </row>
    <row r="8" spans="4:19" x14ac:dyDescent="0.3">
      <c r="D8" s="63" t="s">
        <v>2</v>
      </c>
      <c r="E8" s="2" t="s">
        <v>3</v>
      </c>
      <c r="F8" s="3" t="s">
        <v>4</v>
      </c>
      <c r="G8" s="4" t="s">
        <v>5</v>
      </c>
      <c r="K8" s="39"/>
      <c r="L8" s="40"/>
      <c r="M8" s="40"/>
      <c r="O8" s="55"/>
      <c r="P8" s="56"/>
    </row>
    <row r="9" spans="4:19" x14ac:dyDescent="0.3">
      <c r="D9" s="63"/>
      <c r="E9" s="12">
        <v>90</v>
      </c>
      <c r="F9" s="11">
        <v>50</v>
      </c>
      <c r="G9" s="13">
        <v>10</v>
      </c>
      <c r="K9" s="57" t="s">
        <v>16</v>
      </c>
      <c r="L9" s="55"/>
      <c r="M9" s="55"/>
      <c r="N9" s="55"/>
      <c r="O9" s="41">
        <f>O4+O5+O6+O7</f>
        <v>105595.8918137936</v>
      </c>
      <c r="P9" s="56"/>
    </row>
    <row r="10" spans="4:19" x14ac:dyDescent="0.3">
      <c r="D10" s="1" t="s">
        <v>6</v>
      </c>
      <c r="E10" s="57" t="s">
        <v>22</v>
      </c>
      <c r="F10" s="55"/>
      <c r="G10" s="56"/>
      <c r="K10" s="57" t="s">
        <v>17</v>
      </c>
      <c r="L10" s="55"/>
      <c r="M10" s="55"/>
      <c r="N10" s="55"/>
      <c r="O10" s="41">
        <f>O9*(100+S4)/100</f>
        <v>116155.48099517295</v>
      </c>
      <c r="P10" s="42"/>
    </row>
    <row r="11" spans="4:19" ht="15" thickBot="1" x14ac:dyDescent="0.35">
      <c r="D11" s="5" t="s">
        <v>7</v>
      </c>
      <c r="E11" s="58" t="s">
        <v>23</v>
      </c>
      <c r="F11" s="59"/>
      <c r="G11" s="60"/>
      <c r="K11" s="58" t="s">
        <v>18</v>
      </c>
      <c r="L11" s="59"/>
      <c r="M11" s="59"/>
      <c r="N11" s="59"/>
      <c r="O11" s="61">
        <f>O10*24/S5</f>
        <v>154873.9746602306</v>
      </c>
      <c r="P11" s="62"/>
    </row>
    <row r="45" spans="8:13" x14ac:dyDescent="0.3">
      <c r="H45" s="8"/>
      <c r="I45" s="8"/>
      <c r="M45" s="8"/>
    </row>
  </sheetData>
  <mergeCells count="25">
    <mergeCell ref="E11:G11"/>
    <mergeCell ref="K11:N11"/>
    <mergeCell ref="O11:P11"/>
    <mergeCell ref="D8:D9"/>
    <mergeCell ref="K8:M8"/>
    <mergeCell ref="O8:P8"/>
    <mergeCell ref="K9:N9"/>
    <mergeCell ref="O9:P9"/>
    <mergeCell ref="E10:G10"/>
    <mergeCell ref="K10:N10"/>
    <mergeCell ref="O10:P10"/>
    <mergeCell ref="E6:G6"/>
    <mergeCell ref="K6:M6"/>
    <mergeCell ref="O6:P6"/>
    <mergeCell ref="E7:G7"/>
    <mergeCell ref="K7:M7"/>
    <mergeCell ref="O7:P7"/>
    <mergeCell ref="E5:G5"/>
    <mergeCell ref="K5:M5"/>
    <mergeCell ref="O5:P5"/>
    <mergeCell ref="E3:G3"/>
    <mergeCell ref="K3:P3"/>
    <mergeCell ref="E4:G4"/>
    <mergeCell ref="K4:M4"/>
    <mergeCell ref="O4:P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401F8D-F1F8-4952-8CB8-CD3C26B727CB}">
          <x14:formula1>
            <xm:f>Background!$I$4:$I$5</xm:f>
          </x14:formula1>
          <xm:sqref>E10:G10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E9129-4B28-4E87-B926-28ABACF02A42}">
  <sheetPr codeName="Sheet14"/>
  <dimension ref="D2:S16"/>
  <sheetViews>
    <sheetView workbookViewId="0">
      <selection activeCell="L13" sqref="L13"/>
    </sheetView>
  </sheetViews>
  <sheetFormatPr defaultRowHeight="14.4" x14ac:dyDescent="0.3"/>
  <cols>
    <col min="4" max="4" width="21.33203125" customWidth="1"/>
    <col min="18" max="18" width="18.21875" customWidth="1"/>
  </cols>
  <sheetData>
    <row r="2" spans="4:19" ht="15" thickBot="1" x14ac:dyDescent="0.35"/>
    <row r="3" spans="4:19" ht="15" thickBot="1" x14ac:dyDescent="0.35">
      <c r="D3" s="6" t="s">
        <v>8</v>
      </c>
      <c r="E3" s="44" t="s">
        <v>9</v>
      </c>
      <c r="F3" s="45"/>
      <c r="G3" s="46"/>
      <c r="K3" s="44" t="s">
        <v>19</v>
      </c>
      <c r="L3" s="45"/>
      <c r="M3" s="45"/>
      <c r="N3" s="45"/>
      <c r="O3" s="45"/>
      <c r="P3" s="46"/>
    </row>
    <row r="4" spans="4:19" x14ac:dyDescent="0.3">
      <c r="D4" s="1" t="s">
        <v>10</v>
      </c>
      <c r="E4" s="47">
        <v>35</v>
      </c>
      <c r="F4" s="48"/>
      <c r="G4" s="49"/>
      <c r="K4" s="39" t="s">
        <v>12</v>
      </c>
      <c r="L4" s="40"/>
      <c r="M4" s="40"/>
      <c r="N4" s="36">
        <f>O4/O9</f>
        <v>0.47774887726221715</v>
      </c>
      <c r="O4" s="41">
        <f>(1/28.57)*(E5-E4)*(2*E9*G9+2*F9*G9+E9*F9)+IF(E10= "On Grade",Background!K79,Background!K80)</f>
        <v>27957.788148891603</v>
      </c>
      <c r="P4" s="42"/>
      <c r="R4" t="s">
        <v>21</v>
      </c>
      <c r="S4" s="7">
        <v>10</v>
      </c>
    </row>
    <row r="5" spans="4:19" x14ac:dyDescent="0.3">
      <c r="D5" s="1" t="s">
        <v>11</v>
      </c>
      <c r="E5" s="50">
        <v>100</v>
      </c>
      <c r="F5" s="51"/>
      <c r="G5" s="52"/>
      <c r="K5" s="39" t="s">
        <v>13</v>
      </c>
      <c r="L5" s="40"/>
      <c r="M5" s="40"/>
      <c r="N5" s="36">
        <f>O5/O9</f>
        <v>0.13706177682225859</v>
      </c>
      <c r="O5" s="41">
        <f>E9*F9*G9*10*0.77/24</f>
        <v>8020.833333333333</v>
      </c>
      <c r="P5" s="42"/>
      <c r="R5" t="s">
        <v>20</v>
      </c>
      <c r="S5" s="3">
        <v>16</v>
      </c>
    </row>
    <row r="6" spans="4:19" x14ac:dyDescent="0.3">
      <c r="D6" s="1" t="s">
        <v>0</v>
      </c>
      <c r="E6" s="50">
        <v>87</v>
      </c>
      <c r="F6" s="51"/>
      <c r="G6" s="52"/>
      <c r="K6" s="39" t="s">
        <v>14</v>
      </c>
      <c r="L6" s="40"/>
      <c r="M6" s="40"/>
      <c r="N6" s="36">
        <f>O6/O9</f>
        <v>0.25771281129355478</v>
      </c>
      <c r="O6" s="41">
        <f>E9*F9*3.412*1+INDEX(Background!F79:F94, MATCH(E9*F9*G9, Background!C79:C94,1))</f>
        <v>15081.31264</v>
      </c>
      <c r="P6" s="42"/>
    </row>
    <row r="7" spans="4:19" x14ac:dyDescent="0.3">
      <c r="D7" s="1" t="s">
        <v>1</v>
      </c>
      <c r="E7" s="50">
        <v>55</v>
      </c>
      <c r="F7" s="51"/>
      <c r="G7" s="52"/>
      <c r="K7" s="39" t="s">
        <v>15</v>
      </c>
      <c r="L7" s="40"/>
      <c r="M7" s="40"/>
      <c r="N7" s="36">
        <f>O7/O9</f>
        <v>0.12747653462196942</v>
      </c>
      <c r="O7" s="41">
        <f>EXP(-0.832116360651863)*((E9*F9*G9)^(0.515379988125453))*(Background!J98^1.01725235117876)</f>
        <v>7459.9064875661679</v>
      </c>
      <c r="P7" s="42"/>
    </row>
    <row r="8" spans="4:19" x14ac:dyDescent="0.3">
      <c r="D8" s="63" t="s">
        <v>2</v>
      </c>
      <c r="E8" s="2" t="s">
        <v>3</v>
      </c>
      <c r="F8" s="3" t="s">
        <v>4</v>
      </c>
      <c r="G8" s="4" t="s">
        <v>5</v>
      </c>
      <c r="K8" s="39"/>
      <c r="L8" s="40"/>
      <c r="M8" s="40"/>
      <c r="O8" s="55"/>
      <c r="P8" s="56"/>
    </row>
    <row r="9" spans="4:19" x14ac:dyDescent="0.3">
      <c r="D9" s="63"/>
      <c r="E9" s="12">
        <v>50</v>
      </c>
      <c r="F9" s="11">
        <v>50</v>
      </c>
      <c r="G9" s="13">
        <v>10</v>
      </c>
      <c r="K9" s="57" t="s">
        <v>16</v>
      </c>
      <c r="L9" s="55"/>
      <c r="M9" s="55"/>
      <c r="N9" s="55"/>
      <c r="O9" s="41">
        <f>O4+O5+O6+O7</f>
        <v>58519.840609791107</v>
      </c>
      <c r="P9" s="56"/>
    </row>
    <row r="10" spans="4:19" x14ac:dyDescent="0.3">
      <c r="D10" s="1" t="s">
        <v>6</v>
      </c>
      <c r="E10" s="57" t="s">
        <v>22</v>
      </c>
      <c r="F10" s="55"/>
      <c r="G10" s="56"/>
      <c r="K10" s="57" t="s">
        <v>17</v>
      </c>
      <c r="L10" s="55"/>
      <c r="M10" s="55"/>
      <c r="N10" s="55"/>
      <c r="O10" s="41">
        <f>O9*(100+S4)/100</f>
        <v>64371.824670770213</v>
      </c>
      <c r="P10" s="42"/>
    </row>
    <row r="11" spans="4:19" ht="15" thickBot="1" x14ac:dyDescent="0.35">
      <c r="D11" s="5" t="s">
        <v>7</v>
      </c>
      <c r="E11" s="58" t="s">
        <v>23</v>
      </c>
      <c r="F11" s="59"/>
      <c r="G11" s="60"/>
      <c r="K11" s="58" t="s">
        <v>18</v>
      </c>
      <c r="L11" s="59"/>
      <c r="M11" s="59"/>
      <c r="N11" s="59"/>
      <c r="O11" s="61">
        <f>O10*24/S5</f>
        <v>96557.737006155323</v>
      </c>
      <c r="P11" s="62"/>
    </row>
    <row r="16" spans="4:19" x14ac:dyDescent="0.3">
      <c r="H16" s="8"/>
      <c r="I16" s="8"/>
    </row>
  </sheetData>
  <mergeCells count="25">
    <mergeCell ref="E5:G5"/>
    <mergeCell ref="K5:M5"/>
    <mergeCell ref="O5:P5"/>
    <mergeCell ref="E3:G3"/>
    <mergeCell ref="K3:P3"/>
    <mergeCell ref="E4:G4"/>
    <mergeCell ref="K4:M4"/>
    <mergeCell ref="O4:P4"/>
    <mergeCell ref="E6:G6"/>
    <mergeCell ref="K6:M6"/>
    <mergeCell ref="O6:P6"/>
    <mergeCell ref="E7:G7"/>
    <mergeCell ref="K7:M7"/>
    <mergeCell ref="O7:P7"/>
    <mergeCell ref="E11:G11"/>
    <mergeCell ref="K11:N11"/>
    <mergeCell ref="O11:P11"/>
    <mergeCell ref="D8:D9"/>
    <mergeCell ref="K8:M8"/>
    <mergeCell ref="O8:P8"/>
    <mergeCell ref="K9:N9"/>
    <mergeCell ref="O9:P9"/>
    <mergeCell ref="E10:G10"/>
    <mergeCell ref="K10:N10"/>
    <mergeCell ref="O10:P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6D7E86-E3FD-4F26-961D-A7246308A204}">
          <x14:formula1>
            <xm:f>Background!$I$4:$I$5</xm:f>
          </x14:formula1>
          <xm:sqref>E10:G10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9F06-F9F1-455A-B875-EA32B0E50E84}">
  <sheetPr codeName="Sheet15"/>
  <dimension ref="D2:S16"/>
  <sheetViews>
    <sheetView workbookViewId="0">
      <selection activeCell="R20" sqref="R20"/>
    </sheetView>
  </sheetViews>
  <sheetFormatPr defaultRowHeight="14.4" x14ac:dyDescent="0.3"/>
  <cols>
    <col min="4" max="4" width="23.77734375" customWidth="1"/>
    <col min="17" max="17" width="12" bestFit="1" customWidth="1"/>
    <col min="18" max="18" width="16.44140625" customWidth="1"/>
  </cols>
  <sheetData>
    <row r="2" spans="4:19" ht="15" thickBot="1" x14ac:dyDescent="0.35"/>
    <row r="3" spans="4:19" ht="15" thickBot="1" x14ac:dyDescent="0.35">
      <c r="D3" s="6" t="s">
        <v>8</v>
      </c>
      <c r="E3" s="44" t="s">
        <v>9</v>
      </c>
      <c r="F3" s="45"/>
      <c r="G3" s="46"/>
      <c r="K3" s="44" t="s">
        <v>19</v>
      </c>
      <c r="L3" s="45"/>
      <c r="M3" s="45"/>
      <c r="N3" s="45"/>
      <c r="O3" s="45"/>
      <c r="P3" s="46"/>
    </row>
    <row r="4" spans="4:19" x14ac:dyDescent="0.3">
      <c r="D4" s="1" t="s">
        <v>10</v>
      </c>
      <c r="E4" s="47">
        <v>40</v>
      </c>
      <c r="F4" s="48"/>
      <c r="G4" s="49"/>
      <c r="K4" s="39" t="s">
        <v>12</v>
      </c>
      <c r="L4" s="40"/>
      <c r="M4" s="40"/>
      <c r="N4" s="36">
        <f>O4/O9</f>
        <v>0.3699369374990884</v>
      </c>
      <c r="O4" s="41">
        <f>(1/28.57)*(E5-E4)*(2*E9*G9+2*F9*G9+E9*F9)+IF(E10= "On Grade",Background!U79,Background!U80)</f>
        <v>36145.094654019238</v>
      </c>
      <c r="P4" s="42"/>
      <c r="R4" t="s">
        <v>21</v>
      </c>
      <c r="S4" s="7">
        <v>10</v>
      </c>
    </row>
    <row r="5" spans="4:19" x14ac:dyDescent="0.3">
      <c r="D5" s="1" t="s">
        <v>11</v>
      </c>
      <c r="E5" s="50">
        <v>95</v>
      </c>
      <c r="F5" s="51"/>
      <c r="G5" s="52"/>
      <c r="K5" s="39" t="s">
        <v>13</v>
      </c>
      <c r="L5" s="40"/>
      <c r="M5" s="40"/>
      <c r="N5" s="36">
        <f>O5/O9</f>
        <v>7.4153483265948117E-2</v>
      </c>
      <c r="O5" s="41">
        <f>E9*F9*G9*0.333*10*1.1604/24</f>
        <v>7245.2475000000004</v>
      </c>
      <c r="P5" s="42"/>
      <c r="R5" t="s">
        <v>20</v>
      </c>
      <c r="S5" s="3">
        <v>16</v>
      </c>
    </row>
    <row r="6" spans="4:19" x14ac:dyDescent="0.3">
      <c r="D6" s="1" t="s">
        <v>0</v>
      </c>
      <c r="E6" s="50">
        <v>85</v>
      </c>
      <c r="F6" s="51"/>
      <c r="G6" s="52"/>
      <c r="K6" s="39" t="s">
        <v>14</v>
      </c>
      <c r="L6" s="40"/>
      <c r="M6" s="40"/>
      <c r="N6" s="36">
        <f>O6/O9</f>
        <v>0.47216176352939038</v>
      </c>
      <c r="O6" s="41">
        <f>5500+1190+E9*F9*3.412*2+INDEX(Background!P79:P94, MATCH(E9*F9*G9, Background!M79:M94,1))</f>
        <v>46133.08352</v>
      </c>
      <c r="P6" s="42"/>
    </row>
    <row r="7" spans="4:19" x14ac:dyDescent="0.3">
      <c r="D7" s="1" t="s">
        <v>1</v>
      </c>
      <c r="E7" s="50">
        <v>55</v>
      </c>
      <c r="F7" s="51"/>
      <c r="G7" s="52"/>
      <c r="K7" s="39" t="s">
        <v>15</v>
      </c>
      <c r="L7" s="40"/>
      <c r="M7" s="40"/>
      <c r="N7" s="36">
        <f>O7/O9</f>
        <v>8.3747815705573117E-2</v>
      </c>
      <c r="O7" s="41">
        <f>EXP(-0.832116360651863)*((E9*F9*G9)^(0.515379988125453))*(Background!T98^1.01725235117876)</f>
        <v>8182.672285199309</v>
      </c>
      <c r="P7" s="42"/>
    </row>
    <row r="8" spans="4:19" x14ac:dyDescent="0.3">
      <c r="D8" s="63" t="s">
        <v>2</v>
      </c>
      <c r="E8" s="2" t="s">
        <v>3</v>
      </c>
      <c r="F8" s="3" t="s">
        <v>4</v>
      </c>
      <c r="G8" s="4" t="s">
        <v>5</v>
      </c>
      <c r="K8" s="39"/>
      <c r="L8" s="40"/>
      <c r="M8" s="40"/>
      <c r="O8" s="55"/>
      <c r="P8" s="56"/>
    </row>
    <row r="9" spans="4:19" x14ac:dyDescent="0.3">
      <c r="D9" s="63"/>
      <c r="E9" s="12">
        <v>50</v>
      </c>
      <c r="F9" s="11">
        <v>90</v>
      </c>
      <c r="G9" s="13">
        <v>10</v>
      </c>
      <c r="K9" s="57" t="s">
        <v>16</v>
      </c>
      <c r="L9" s="55"/>
      <c r="M9" s="55"/>
      <c r="N9" s="55"/>
      <c r="O9" s="41">
        <f>O4+O5+O6+O7</f>
        <v>97706.097959218547</v>
      </c>
      <c r="P9" s="56"/>
    </row>
    <row r="10" spans="4:19" x14ac:dyDescent="0.3">
      <c r="D10" s="1" t="s">
        <v>6</v>
      </c>
      <c r="E10" s="57" t="s">
        <v>22</v>
      </c>
      <c r="F10" s="55"/>
      <c r="G10" s="56"/>
      <c r="K10" s="57" t="s">
        <v>17</v>
      </c>
      <c r="L10" s="55"/>
      <c r="M10" s="55"/>
      <c r="N10" s="55"/>
      <c r="O10" s="41">
        <f>O9*(100+S4)/100</f>
        <v>107476.70775514041</v>
      </c>
      <c r="P10" s="42"/>
    </row>
    <row r="11" spans="4:19" ht="15" thickBot="1" x14ac:dyDescent="0.35">
      <c r="D11" s="5" t="s">
        <v>7</v>
      </c>
      <c r="E11" s="58" t="s">
        <v>23</v>
      </c>
      <c r="F11" s="59"/>
      <c r="G11" s="60"/>
      <c r="K11" s="58" t="s">
        <v>18</v>
      </c>
      <c r="L11" s="59"/>
      <c r="M11" s="59"/>
      <c r="N11" s="59"/>
      <c r="O11" s="61">
        <f>O10*24/S5</f>
        <v>161215.06163271063</v>
      </c>
      <c r="P11" s="62"/>
    </row>
    <row r="16" spans="4:19" x14ac:dyDescent="0.3">
      <c r="G16" s="8"/>
    </row>
  </sheetData>
  <mergeCells count="25">
    <mergeCell ref="E5:G5"/>
    <mergeCell ref="K5:M5"/>
    <mergeCell ref="O5:P5"/>
    <mergeCell ref="E3:G3"/>
    <mergeCell ref="K3:P3"/>
    <mergeCell ref="E4:G4"/>
    <mergeCell ref="K4:M4"/>
    <mergeCell ref="O4:P4"/>
    <mergeCell ref="E6:G6"/>
    <mergeCell ref="K6:M6"/>
    <mergeCell ref="O6:P6"/>
    <mergeCell ref="E7:G7"/>
    <mergeCell ref="K7:M7"/>
    <mergeCell ref="O7:P7"/>
    <mergeCell ref="E11:G11"/>
    <mergeCell ref="K11:N11"/>
    <mergeCell ref="O11:P11"/>
    <mergeCell ref="D8:D9"/>
    <mergeCell ref="K8:M8"/>
    <mergeCell ref="O8:P8"/>
    <mergeCell ref="K9:N9"/>
    <mergeCell ref="O9:P9"/>
    <mergeCell ref="E10:G10"/>
    <mergeCell ref="K10:N10"/>
    <mergeCell ref="O10:P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E7C7D5-26FC-4DBD-A7DD-9C03C33DFA32}">
          <x14:formula1>
            <xm:f>Background!$I$4:$I$5</xm:f>
          </x14:formula1>
          <xm:sqref>E10:G10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7BAA-0A2E-4711-89DE-80FDD7144C60}">
  <dimension ref="D2:S12"/>
  <sheetViews>
    <sheetView tabSelected="1" workbookViewId="0">
      <selection activeCell="K20" sqref="K20"/>
    </sheetView>
  </sheetViews>
  <sheetFormatPr defaultRowHeight="14.4" x14ac:dyDescent="0.3"/>
  <cols>
    <col min="4" max="4" width="23.77734375" customWidth="1"/>
    <col min="18" max="18" width="14.21875" customWidth="1"/>
  </cols>
  <sheetData>
    <row r="2" spans="4:19" ht="15" thickBot="1" x14ac:dyDescent="0.35"/>
    <row r="3" spans="4:19" ht="15" thickBot="1" x14ac:dyDescent="0.35">
      <c r="D3" s="67" t="s">
        <v>8</v>
      </c>
      <c r="E3" s="44" t="s">
        <v>9</v>
      </c>
      <c r="F3" s="45"/>
      <c r="G3" s="46"/>
      <c r="K3" s="44" t="s">
        <v>19</v>
      </c>
      <c r="L3" s="45"/>
      <c r="M3" s="45"/>
      <c r="N3" s="45"/>
      <c r="O3" s="45"/>
      <c r="P3" s="46"/>
    </row>
    <row r="4" spans="4:19" x14ac:dyDescent="0.3">
      <c r="D4" s="68" t="s">
        <v>10</v>
      </c>
      <c r="E4" s="47">
        <v>35</v>
      </c>
      <c r="F4" s="48"/>
      <c r="G4" s="49"/>
      <c r="K4" s="53" t="s">
        <v>12</v>
      </c>
      <c r="L4" s="54"/>
      <c r="M4" s="54"/>
      <c r="N4" s="9">
        <f>O4/O9</f>
        <v>0.37771593650170437</v>
      </c>
      <c r="O4" s="41">
        <f>(1/28.57)*(E5-E4)*(2*E9*G9+2*F9*G9+E9*F9)+IF(E10= "On Grade",Background!K4,IF(E10= "Above Grade",Background!K5,Background!K6))</f>
        <v>1979.3331272210239</v>
      </c>
      <c r="P4" s="42"/>
      <c r="R4" t="s">
        <v>21</v>
      </c>
      <c r="S4" s="7">
        <v>10</v>
      </c>
    </row>
    <row r="5" spans="4:19" x14ac:dyDescent="0.3">
      <c r="D5" s="68" t="s">
        <v>11</v>
      </c>
      <c r="E5" s="50">
        <v>85</v>
      </c>
      <c r="F5" s="51"/>
      <c r="G5" s="52"/>
      <c r="K5" s="39" t="s">
        <v>13</v>
      </c>
      <c r="L5" s="40"/>
      <c r="M5" s="40"/>
      <c r="N5" s="9">
        <f>O5/O9</f>
        <v>0.12244918381283817</v>
      </c>
      <c r="O5" s="41">
        <f>2*E9*F9*G9*0.77*10/24</f>
        <v>641.66666666666663</v>
      </c>
      <c r="P5" s="42"/>
      <c r="R5" t="s">
        <v>20</v>
      </c>
      <c r="S5" s="3">
        <v>18</v>
      </c>
    </row>
    <row r="6" spans="4:19" x14ac:dyDescent="0.3">
      <c r="D6" s="68" t="s">
        <v>0</v>
      </c>
      <c r="E6" s="50">
        <v>80</v>
      </c>
      <c r="F6" s="51"/>
      <c r="G6" s="52"/>
      <c r="K6" s="39" t="s">
        <v>14</v>
      </c>
      <c r="L6" s="40"/>
      <c r="M6" s="40"/>
      <c r="N6" s="9">
        <f>O6/O9</f>
        <v>0.1953007360065645</v>
      </c>
      <c r="O6" s="41">
        <f>E9*F9*3.41+INDEX(Background!F4:F19, MATCH(E9*F9*G9, Background!C4:C19,1))</f>
        <v>1023.4284</v>
      </c>
      <c r="P6" s="42"/>
    </row>
    <row r="7" spans="4:19" x14ac:dyDescent="0.3">
      <c r="D7" s="68" t="s">
        <v>1</v>
      </c>
      <c r="E7" s="50">
        <v>55</v>
      </c>
      <c r="F7" s="51"/>
      <c r="G7" s="52"/>
      <c r="K7" s="39" t="s">
        <v>15</v>
      </c>
      <c r="L7" s="40"/>
      <c r="M7" s="40"/>
      <c r="N7" s="9">
        <f>O7/O9</f>
        <v>0.30453414367889309</v>
      </c>
      <c r="O7" s="41">
        <f>0.0001367*(E9*F9*G9)^(0.5425)*Background!J23*3412.142*1.45*MIN(1+0.2*(E12-1),1.5)</f>
        <v>1595.8408441439963</v>
      </c>
      <c r="P7" s="42"/>
    </row>
    <row r="8" spans="4:19" x14ac:dyDescent="0.3">
      <c r="D8" s="69" t="s">
        <v>2</v>
      </c>
      <c r="E8" s="2" t="s">
        <v>3</v>
      </c>
      <c r="F8" s="3" t="s">
        <v>4</v>
      </c>
      <c r="G8" s="4" t="s">
        <v>5</v>
      </c>
      <c r="K8" s="39"/>
      <c r="L8" s="40"/>
      <c r="M8" s="40"/>
      <c r="O8" s="55"/>
      <c r="P8" s="56"/>
      <c r="S8" s="10"/>
    </row>
    <row r="9" spans="4:19" x14ac:dyDescent="0.3">
      <c r="D9" s="69"/>
      <c r="E9" s="12">
        <v>10</v>
      </c>
      <c r="F9" s="11">
        <v>10</v>
      </c>
      <c r="G9" s="13">
        <v>10</v>
      </c>
      <c r="K9" s="57" t="s">
        <v>16</v>
      </c>
      <c r="L9" s="55"/>
      <c r="M9" s="55"/>
      <c r="N9" s="55"/>
      <c r="O9" s="41">
        <f>O4+O5+O6+O7</f>
        <v>5240.2690380316863</v>
      </c>
      <c r="P9" s="56"/>
      <c r="S9" s="10"/>
    </row>
    <row r="10" spans="4:19" x14ac:dyDescent="0.3">
      <c r="D10" s="68" t="s">
        <v>6</v>
      </c>
      <c r="E10" s="57" t="s">
        <v>22</v>
      </c>
      <c r="F10" s="55"/>
      <c r="G10" s="56"/>
      <c r="K10" s="57" t="s">
        <v>17</v>
      </c>
      <c r="L10" s="55"/>
      <c r="M10" s="55"/>
      <c r="N10" s="55"/>
      <c r="O10" s="41">
        <f>O9*(100+S4)/100</f>
        <v>5764.2959418348546</v>
      </c>
      <c r="P10" s="42"/>
    </row>
    <row r="11" spans="4:19" ht="15" thickBot="1" x14ac:dyDescent="0.35">
      <c r="D11" s="68" t="s">
        <v>7</v>
      </c>
      <c r="E11" s="57" t="s">
        <v>23</v>
      </c>
      <c r="F11" s="55"/>
      <c r="G11" s="56"/>
      <c r="K11" s="58" t="s">
        <v>18</v>
      </c>
      <c r="L11" s="59"/>
      <c r="M11" s="59"/>
      <c r="N11" s="59"/>
      <c r="O11" s="61">
        <f>O10*24/S5</f>
        <v>7685.7279224464728</v>
      </c>
      <c r="P11" s="62"/>
      <c r="S11" s="31"/>
    </row>
    <row r="12" spans="4:19" ht="15" thickBot="1" x14ac:dyDescent="0.35">
      <c r="D12" s="70" t="s">
        <v>52</v>
      </c>
      <c r="E12" s="58">
        <f>1</f>
        <v>1</v>
      </c>
      <c r="F12" s="59"/>
      <c r="G12" s="60"/>
    </row>
  </sheetData>
  <mergeCells count="26">
    <mergeCell ref="E11:G11"/>
    <mergeCell ref="K11:N11"/>
    <mergeCell ref="O11:P11"/>
    <mergeCell ref="E12:G12"/>
    <mergeCell ref="D8:D9"/>
    <mergeCell ref="K8:M8"/>
    <mergeCell ref="O8:P8"/>
    <mergeCell ref="K9:N9"/>
    <mergeCell ref="O9:P9"/>
    <mergeCell ref="E10:G10"/>
    <mergeCell ref="K10:N10"/>
    <mergeCell ref="O10:P10"/>
    <mergeCell ref="E6:G6"/>
    <mergeCell ref="K6:M6"/>
    <mergeCell ref="O6:P6"/>
    <mergeCell ref="E7:G7"/>
    <mergeCell ref="K7:M7"/>
    <mergeCell ref="O7:P7"/>
    <mergeCell ref="E3:G3"/>
    <mergeCell ref="K3:P3"/>
    <mergeCell ref="E4:G4"/>
    <mergeCell ref="K4:M4"/>
    <mergeCell ref="O4:P4"/>
    <mergeCell ref="E5:G5"/>
    <mergeCell ref="K5:M5"/>
    <mergeCell ref="O5:P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6674AE-3A06-45EF-A1B7-B7BDFB53C79B}">
          <x14:formula1>
            <xm:f>Background!$I$4:$I$6</xm:f>
          </x14:formula1>
          <xm:sqref>E10:G10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36FF-969D-4F92-8B1D-131AEDDFBED7}">
  <dimension ref="D2:S18"/>
  <sheetViews>
    <sheetView workbookViewId="0">
      <selection activeCell="I16" sqref="I16"/>
    </sheetView>
  </sheetViews>
  <sheetFormatPr defaultRowHeight="14.4" x14ac:dyDescent="0.3"/>
  <cols>
    <col min="4" max="4" width="24.109375" customWidth="1"/>
    <col min="18" max="18" width="15.21875" customWidth="1"/>
  </cols>
  <sheetData>
    <row r="2" spans="4:19" ht="15" thickBot="1" x14ac:dyDescent="0.35"/>
    <row r="3" spans="4:19" ht="15" thickBot="1" x14ac:dyDescent="0.35">
      <c r="D3" s="67" t="s">
        <v>8</v>
      </c>
      <c r="E3" s="44" t="s">
        <v>9</v>
      </c>
      <c r="F3" s="45"/>
      <c r="G3" s="46"/>
      <c r="K3" s="44" t="s">
        <v>19</v>
      </c>
      <c r="L3" s="45"/>
      <c r="M3" s="45"/>
      <c r="N3" s="45"/>
      <c r="O3" s="45"/>
      <c r="P3" s="46"/>
    </row>
    <row r="4" spans="4:19" x14ac:dyDescent="0.3">
      <c r="D4" s="68" t="s">
        <v>10</v>
      </c>
      <c r="E4" s="47">
        <v>-10</v>
      </c>
      <c r="F4" s="48"/>
      <c r="G4" s="49"/>
      <c r="K4" s="53" t="s">
        <v>12</v>
      </c>
      <c r="L4" s="54"/>
      <c r="M4" s="54"/>
      <c r="N4" s="9">
        <f>O4/O9</f>
        <v>0.36995131855919705</v>
      </c>
      <c r="O4" s="41">
        <f>(1/28.57)*(E5-E4)*(2*E9*G9+2*F9*G9+E9*F9)+IF(E10= "On Grade",Background!U4,Background!U5)</f>
        <v>2154.1935637933325</v>
      </c>
      <c r="P4" s="42"/>
      <c r="R4" t="s">
        <v>21</v>
      </c>
      <c r="S4" s="7">
        <v>10</v>
      </c>
    </row>
    <row r="5" spans="4:19" x14ac:dyDescent="0.3">
      <c r="D5" s="68" t="s">
        <v>11</v>
      </c>
      <c r="E5" s="50">
        <v>85</v>
      </c>
      <c r="F5" s="51"/>
      <c r="G5" s="52"/>
      <c r="K5" s="39" t="s">
        <v>13</v>
      </c>
      <c r="L5" s="40"/>
      <c r="M5" s="40"/>
      <c r="N5" s="9">
        <f>O5/O9</f>
        <v>3.0769261262888297E-2</v>
      </c>
      <c r="O5" s="41">
        <f>E9*F9*G9*0.43*10/24</f>
        <v>179.16666666666666</v>
      </c>
      <c r="P5" s="42"/>
      <c r="R5" t="s">
        <v>20</v>
      </c>
      <c r="S5" s="3">
        <v>18</v>
      </c>
    </row>
    <row r="6" spans="4:19" x14ac:dyDescent="0.3">
      <c r="D6" s="68" t="s">
        <v>0</v>
      </c>
      <c r="E6" s="50">
        <v>95</v>
      </c>
      <c r="F6" s="51"/>
      <c r="G6" s="52"/>
      <c r="K6" s="39" t="s">
        <v>14</v>
      </c>
      <c r="L6" s="40"/>
      <c r="M6" s="40"/>
      <c r="N6" s="9">
        <f>O6/O9</f>
        <v>0.16599247076683821</v>
      </c>
      <c r="O6" s="41">
        <f>E9*F9*3.41+INDEX(Background!P4:P20, MATCH(E9*F9*G9, Background!M4:M20,1))</f>
        <v>966.55936666666662</v>
      </c>
      <c r="P6" s="42"/>
    </row>
    <row r="7" spans="4:19" x14ac:dyDescent="0.3">
      <c r="D7" s="68" t="s">
        <v>1</v>
      </c>
      <c r="E7" s="50">
        <v>55</v>
      </c>
      <c r="F7" s="51"/>
      <c r="G7" s="52"/>
      <c r="K7" s="39" t="s">
        <v>15</v>
      </c>
      <c r="L7" s="40"/>
      <c r="M7" s="40"/>
      <c r="N7" s="9">
        <f>O7/O9</f>
        <v>0.43328694941107659</v>
      </c>
      <c r="O7" s="41">
        <f>0.0001367*(E9*F9*G9)^(0.5425)*Background!T23*3412.142*1.45*MIN(1+0.15*(E12-1),1.4)</f>
        <v>2522.9912987798548</v>
      </c>
      <c r="P7" s="42"/>
    </row>
    <row r="8" spans="4:19" x14ac:dyDescent="0.3">
      <c r="D8" s="71" t="s">
        <v>2</v>
      </c>
      <c r="E8" s="2" t="s">
        <v>3</v>
      </c>
      <c r="F8" s="3" t="s">
        <v>4</v>
      </c>
      <c r="G8" s="4" t="s">
        <v>5</v>
      </c>
      <c r="K8" s="39"/>
      <c r="L8" s="40"/>
      <c r="M8" s="40"/>
      <c r="O8" s="55"/>
      <c r="P8" s="56"/>
      <c r="S8" s="10"/>
    </row>
    <row r="9" spans="4:19" x14ac:dyDescent="0.3">
      <c r="D9" s="71"/>
      <c r="E9" s="12">
        <v>10</v>
      </c>
      <c r="F9" s="11">
        <v>10</v>
      </c>
      <c r="G9" s="13">
        <v>10</v>
      </c>
      <c r="K9" s="57" t="s">
        <v>16</v>
      </c>
      <c r="L9" s="55"/>
      <c r="M9" s="55"/>
      <c r="N9" s="55"/>
      <c r="O9" s="41">
        <f>O4+O5+O6+O7</f>
        <v>5822.9108959065197</v>
      </c>
      <c r="P9" s="56"/>
      <c r="S9" s="10"/>
    </row>
    <row r="10" spans="4:19" x14ac:dyDescent="0.3">
      <c r="D10" s="68" t="s">
        <v>6</v>
      </c>
      <c r="E10" s="57" t="s">
        <v>22</v>
      </c>
      <c r="F10" s="55"/>
      <c r="G10" s="56"/>
      <c r="K10" s="57" t="s">
        <v>17</v>
      </c>
      <c r="L10" s="55"/>
      <c r="M10" s="55"/>
      <c r="N10" s="55"/>
      <c r="O10" s="41">
        <f>O9*(100+S4)/100</f>
        <v>6405.2019854971722</v>
      </c>
      <c r="P10" s="42"/>
    </row>
    <row r="11" spans="4:19" ht="15" thickBot="1" x14ac:dyDescent="0.35">
      <c r="D11" s="68" t="s">
        <v>7</v>
      </c>
      <c r="E11" s="57" t="s">
        <v>23</v>
      </c>
      <c r="F11" s="55"/>
      <c r="G11" s="56"/>
      <c r="K11" s="58" t="s">
        <v>18</v>
      </c>
      <c r="L11" s="59"/>
      <c r="M11" s="59"/>
      <c r="N11" s="59"/>
      <c r="O11" s="61">
        <f>O10*24/S5</f>
        <v>8540.2693139962284</v>
      </c>
      <c r="P11" s="62"/>
      <c r="S11" s="32"/>
    </row>
    <row r="12" spans="4:19" ht="15" thickBot="1" x14ac:dyDescent="0.35">
      <c r="D12" s="70" t="s">
        <v>52</v>
      </c>
      <c r="E12" s="58">
        <v>1</v>
      </c>
      <c r="F12" s="59"/>
      <c r="G12" s="60"/>
    </row>
    <row r="18" spans="7:7" x14ac:dyDescent="0.3">
      <c r="G18" s="3"/>
    </row>
  </sheetData>
  <mergeCells count="26">
    <mergeCell ref="E11:G11"/>
    <mergeCell ref="K11:N11"/>
    <mergeCell ref="O11:P11"/>
    <mergeCell ref="E12:G12"/>
    <mergeCell ref="D8:D9"/>
    <mergeCell ref="K8:M8"/>
    <mergeCell ref="O8:P8"/>
    <mergeCell ref="K9:N9"/>
    <mergeCell ref="O9:P9"/>
    <mergeCell ref="E10:G10"/>
    <mergeCell ref="K10:N10"/>
    <mergeCell ref="O10:P10"/>
    <mergeCell ref="E6:G6"/>
    <mergeCell ref="K6:M6"/>
    <mergeCell ref="O6:P6"/>
    <mergeCell ref="E7:G7"/>
    <mergeCell ref="K7:M7"/>
    <mergeCell ref="O7:P7"/>
    <mergeCell ref="E3:G3"/>
    <mergeCell ref="K3:P3"/>
    <mergeCell ref="E4:G4"/>
    <mergeCell ref="K4:M4"/>
    <mergeCell ref="O4:P4"/>
    <mergeCell ref="E5:G5"/>
    <mergeCell ref="K5:M5"/>
    <mergeCell ref="O5:P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818524-6D7E-494E-817D-FD7362B21B08}">
          <x14:formula1>
            <xm:f>Background!$S$4:$S$5</xm:f>
          </x14:formula1>
          <xm:sqref>E10:G10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8A8C-54BB-4CE0-888E-8923D48469CF}">
  <sheetPr codeName="Sheet16"/>
  <dimension ref="C2:U99"/>
  <sheetViews>
    <sheetView zoomScale="92" workbookViewId="0">
      <selection activeCell="T98" sqref="T98"/>
    </sheetView>
  </sheetViews>
  <sheetFormatPr defaultRowHeight="14.4" x14ac:dyDescent="0.3"/>
  <cols>
    <col min="3" max="3" width="13.6640625" customWidth="1"/>
    <col min="4" max="4" width="14.6640625" customWidth="1"/>
    <col min="9" max="9" width="21.88671875" customWidth="1"/>
    <col min="11" max="11" width="11.21875" customWidth="1"/>
    <col min="13" max="13" width="14.44140625" customWidth="1"/>
    <col min="18" max="18" width="8.88671875" customWidth="1"/>
    <col min="19" max="19" width="12.88671875" customWidth="1"/>
    <col min="20" max="20" width="17.109375" bestFit="1" customWidth="1"/>
    <col min="21" max="21" width="9.77734375" bestFit="1" customWidth="1"/>
  </cols>
  <sheetData>
    <row r="2" spans="3:21" x14ac:dyDescent="0.3">
      <c r="C2" s="64" t="s">
        <v>43</v>
      </c>
      <c r="D2" s="65"/>
      <c r="E2" s="65"/>
      <c r="F2" s="65"/>
      <c r="G2" s="65"/>
      <c r="H2" s="65"/>
      <c r="I2" s="65"/>
      <c r="J2" s="65"/>
      <c r="K2" s="66"/>
      <c r="M2" s="64" t="s">
        <v>44</v>
      </c>
      <c r="N2" s="65"/>
      <c r="O2" s="65"/>
      <c r="P2" s="65"/>
      <c r="Q2" s="65"/>
      <c r="R2" s="65"/>
      <c r="S2" s="65"/>
      <c r="T2" s="65"/>
      <c r="U2" s="66"/>
    </row>
    <row r="3" spans="3:21" x14ac:dyDescent="0.3">
      <c r="C3" s="14" t="s">
        <v>31</v>
      </c>
      <c r="D3" s="23" t="s">
        <v>30</v>
      </c>
      <c r="E3" s="23" t="s">
        <v>32</v>
      </c>
      <c r="F3" s="30" t="s">
        <v>38</v>
      </c>
      <c r="I3" s="14" t="s">
        <v>6</v>
      </c>
      <c r="J3" s="21" t="s">
        <v>33</v>
      </c>
      <c r="K3" s="15" t="s">
        <v>34</v>
      </c>
      <c r="M3" s="14" t="s">
        <v>31</v>
      </c>
      <c r="N3" s="23" t="s">
        <v>30</v>
      </c>
      <c r="O3" s="23" t="s">
        <v>32</v>
      </c>
      <c r="P3" s="30" t="s">
        <v>38</v>
      </c>
      <c r="S3" s="14" t="s">
        <v>6</v>
      </c>
      <c r="T3" s="21" t="s">
        <v>33</v>
      </c>
      <c r="U3" s="15" t="s">
        <v>34</v>
      </c>
    </row>
    <row r="4" spans="3:21" x14ac:dyDescent="0.3">
      <c r="C4" s="27">
        <v>0</v>
      </c>
      <c r="D4" s="24">
        <v>100</v>
      </c>
      <c r="E4" s="24">
        <v>1</v>
      </c>
      <c r="F4" s="28">
        <f>D4*E4*3.412142</f>
        <v>341.21420000000001</v>
      </c>
      <c r="I4" s="16" t="s">
        <v>22</v>
      </c>
      <c r="J4" s="19">
        <f>(1.8408+0.5148*(J17-J18))*(('General Walk in Cooler'!E9*'General Walk in Cooler'!F9)^(0.679)/(200^0.679))</f>
        <v>17.226914251210342</v>
      </c>
      <c r="K4" s="22">
        <f>64.1025641*J4</f>
        <v>1104.2893750334144</v>
      </c>
      <c r="M4" s="27">
        <v>0</v>
      </c>
      <c r="N4" s="24">
        <v>100</v>
      </c>
      <c r="O4" s="24">
        <v>1</v>
      </c>
      <c r="P4" s="28">
        <f>N4*O4*22*3.412142/24</f>
        <v>312.77968333333331</v>
      </c>
      <c r="S4" s="16" t="s">
        <v>22</v>
      </c>
      <c r="T4" s="19">
        <f>(1.8408+0.5148*(T17-T18))*(('General Walk in Freezer'!E9*'General Walk in Freezer'!F9)^(0.679)/(200^0.679))</f>
        <v>31.696352974653418</v>
      </c>
      <c r="U4" s="22">
        <f>2*7.755*T4</f>
        <v>491.61043463687452</v>
      </c>
    </row>
    <row r="5" spans="3:21" x14ac:dyDescent="0.3">
      <c r="C5" s="25">
        <v>600</v>
      </c>
      <c r="D5" s="24">
        <v>100</v>
      </c>
      <c r="E5" s="24">
        <v>2</v>
      </c>
      <c r="F5" s="28">
        <f>D5*E5*3.412142</f>
        <v>682.42840000000001</v>
      </c>
      <c r="I5" s="33" t="s">
        <v>35</v>
      </c>
      <c r="J5" s="37"/>
      <c r="K5" s="28">
        <f>(1/3.12)*'General Walk in Cooler'!E9*'General Walk in Cooler'!F9*(J17-J18)</f>
        <v>1602.5641025641025</v>
      </c>
      <c r="M5" s="25">
        <v>600</v>
      </c>
      <c r="N5" s="24">
        <v>100</v>
      </c>
      <c r="O5" s="24">
        <v>2</v>
      </c>
      <c r="P5" s="28">
        <f>N5*O5*22*3.412142/24</f>
        <v>625.55936666666662</v>
      </c>
      <c r="S5" s="17" t="s">
        <v>35</v>
      </c>
      <c r="T5" s="20"/>
      <c r="U5" s="18">
        <f>(1/32.32)*'General Walk in Freezer'!E9*'General Walk in Freezer'!F9*(T17-T18)</f>
        <v>293.93564356435644</v>
      </c>
    </row>
    <row r="6" spans="3:21" x14ac:dyDescent="0.3">
      <c r="C6" s="25">
        <v>1350</v>
      </c>
      <c r="D6" s="24">
        <v>100</v>
      </c>
      <c r="E6" s="24">
        <v>3</v>
      </c>
      <c r="F6" s="28">
        <f t="shared" ref="F6:F18" si="0">D6*E6*3.412142</f>
        <v>1023.6425999999999</v>
      </c>
      <c r="I6" s="17" t="s">
        <v>47</v>
      </c>
      <c r="J6" s="20">
        <f>(1.8408+0.5148*(J17-J18))*(('General Walk in Cooler'!E9*'General Walk in Cooler'!F9)^(0.679)/(200^0.679))</f>
        <v>17.226914251210342</v>
      </c>
      <c r="K6" s="18">
        <f>(1/2)*64.1025641*J4</f>
        <v>552.14468751670722</v>
      </c>
      <c r="M6" s="25">
        <v>1350</v>
      </c>
      <c r="N6" s="24">
        <v>100</v>
      </c>
      <c r="O6" s="24">
        <v>3</v>
      </c>
      <c r="P6" s="28">
        <f t="shared" ref="P6:P14" si="1">N6*O6*22*3.412142/24</f>
        <v>938.33904999999993</v>
      </c>
      <c r="U6" s="28"/>
    </row>
    <row r="7" spans="3:21" x14ac:dyDescent="0.3">
      <c r="C7" s="25">
        <v>2570</v>
      </c>
      <c r="D7" s="24">
        <v>100</v>
      </c>
      <c r="E7" s="24">
        <v>4</v>
      </c>
      <c r="F7" s="28">
        <f t="shared" si="0"/>
        <v>1364.8568</v>
      </c>
      <c r="K7" s="28"/>
      <c r="M7" s="25">
        <v>2570</v>
      </c>
      <c r="N7" s="24">
        <v>100</v>
      </c>
      <c r="O7" s="24">
        <v>4</v>
      </c>
      <c r="P7" s="28">
        <f t="shared" si="1"/>
        <v>1251.1187333333332</v>
      </c>
      <c r="U7" s="28"/>
    </row>
    <row r="8" spans="3:21" x14ac:dyDescent="0.3">
      <c r="C8" s="25">
        <v>4810</v>
      </c>
      <c r="D8" s="24">
        <v>100</v>
      </c>
      <c r="E8" s="24">
        <v>5</v>
      </c>
      <c r="F8" s="28">
        <f t="shared" si="0"/>
        <v>1706.0709999999999</v>
      </c>
      <c r="H8" s="8"/>
      <c r="I8" t="s">
        <v>24</v>
      </c>
      <c r="J8" s="10">
        <f>(J17-32)/1.8</f>
        <v>29.444444444444443</v>
      </c>
      <c r="K8" s="28"/>
      <c r="M8" s="25">
        <v>3210</v>
      </c>
      <c r="N8" s="24">
        <v>100</v>
      </c>
      <c r="O8" s="24">
        <v>5</v>
      </c>
      <c r="P8" s="28">
        <f t="shared" si="1"/>
        <v>1563.8984166666667</v>
      </c>
      <c r="R8" s="8"/>
      <c r="S8" t="s">
        <v>24</v>
      </c>
      <c r="T8" s="10">
        <f>(T17-32)/1.8</f>
        <v>29.444444444444443</v>
      </c>
      <c r="U8" s="28"/>
    </row>
    <row r="9" spans="3:21" x14ac:dyDescent="0.3">
      <c r="C9" s="25">
        <v>5770</v>
      </c>
      <c r="D9" s="24">
        <v>100</v>
      </c>
      <c r="E9" s="24">
        <v>6</v>
      </c>
      <c r="F9" s="28">
        <f t="shared" si="0"/>
        <v>2047.2851999999998</v>
      </c>
      <c r="I9" t="s">
        <v>25</v>
      </c>
      <c r="J9" s="10">
        <f>(J18-32)/1.8</f>
        <v>1.6666666666666665</v>
      </c>
      <c r="K9" s="28"/>
      <c r="M9" s="25">
        <v>4810</v>
      </c>
      <c r="N9" s="24">
        <v>100</v>
      </c>
      <c r="O9" s="24">
        <v>6</v>
      </c>
      <c r="P9" s="28">
        <f t="shared" si="1"/>
        <v>1876.6780999999999</v>
      </c>
      <c r="S9" t="s">
        <v>25</v>
      </c>
      <c r="T9" s="10">
        <f>(T18-32)/1.8</f>
        <v>-23.333333333333332</v>
      </c>
      <c r="U9" s="28"/>
    </row>
    <row r="10" spans="3:21" x14ac:dyDescent="0.3">
      <c r="C10" s="25">
        <v>6260</v>
      </c>
      <c r="D10" s="24">
        <v>320</v>
      </c>
      <c r="E10" s="24">
        <v>2</v>
      </c>
      <c r="F10" s="28">
        <f t="shared" si="0"/>
        <v>2183.77088</v>
      </c>
      <c r="I10" t="s">
        <v>26</v>
      </c>
      <c r="J10">
        <f>0.622*J14/(101.325-J14)</f>
        <v>1.4167413655426897E-2</v>
      </c>
      <c r="K10" s="28"/>
      <c r="M10" s="25">
        <v>5770</v>
      </c>
      <c r="N10" s="24">
        <v>320</v>
      </c>
      <c r="O10" s="24">
        <v>2</v>
      </c>
      <c r="P10" s="28">
        <f t="shared" si="1"/>
        <v>2001.7899733333331</v>
      </c>
      <c r="S10" t="s">
        <v>26</v>
      </c>
      <c r="T10">
        <f>0.622*T14/(101.325-T14)</f>
        <v>1.4167413655426897E-2</v>
      </c>
      <c r="U10" s="28"/>
    </row>
    <row r="11" spans="3:21" x14ac:dyDescent="0.3">
      <c r="C11" s="25">
        <v>12100</v>
      </c>
      <c r="D11" s="24">
        <v>320</v>
      </c>
      <c r="E11" s="24">
        <v>3</v>
      </c>
      <c r="F11" s="28">
        <f t="shared" si="0"/>
        <v>3275.6563199999996</v>
      </c>
      <c r="I11" t="s">
        <v>29</v>
      </c>
      <c r="J11" s="32">
        <f>0.622*J15/(101.325-J15)</f>
        <v>3.4027725815149686E-3</v>
      </c>
      <c r="K11" s="28"/>
      <c r="M11" s="25">
        <v>6260</v>
      </c>
      <c r="N11" s="24">
        <v>320</v>
      </c>
      <c r="O11" s="24">
        <v>3</v>
      </c>
      <c r="P11" s="28">
        <f t="shared" si="1"/>
        <v>3002.68496</v>
      </c>
      <c r="S11" t="s">
        <v>29</v>
      </c>
      <c r="T11" s="32">
        <f>0.622*T15/(101.325-T15)</f>
        <v>5.4921382198683613E-4</v>
      </c>
      <c r="U11" s="28"/>
    </row>
    <row r="12" spans="3:21" x14ac:dyDescent="0.3">
      <c r="C12" s="25">
        <v>16900</v>
      </c>
      <c r="D12" s="24">
        <v>320</v>
      </c>
      <c r="E12" s="24">
        <v>4</v>
      </c>
      <c r="F12" s="28">
        <f t="shared" si="0"/>
        <v>4367.5417600000001</v>
      </c>
      <c r="K12" s="28"/>
      <c r="M12" s="25">
        <v>15010</v>
      </c>
      <c r="N12" s="24">
        <v>320</v>
      </c>
      <c r="O12" s="24">
        <v>4</v>
      </c>
      <c r="P12" s="28">
        <f t="shared" si="1"/>
        <v>4003.5799466666663</v>
      </c>
      <c r="U12" s="28"/>
    </row>
    <row r="13" spans="3:21" x14ac:dyDescent="0.3">
      <c r="C13" s="25">
        <v>21700</v>
      </c>
      <c r="D13" s="24">
        <v>320</v>
      </c>
      <c r="E13" s="24">
        <v>6</v>
      </c>
      <c r="F13" s="28">
        <f t="shared" si="0"/>
        <v>6551.3126399999992</v>
      </c>
      <c r="K13" s="28"/>
      <c r="M13" s="25">
        <v>21700</v>
      </c>
      <c r="N13" s="24">
        <v>960</v>
      </c>
      <c r="O13" s="24">
        <v>2</v>
      </c>
      <c r="P13" s="28">
        <f t="shared" si="1"/>
        <v>6005.3699200000001</v>
      </c>
      <c r="U13" s="28"/>
    </row>
    <row r="14" spans="3:21" x14ac:dyDescent="0.3">
      <c r="C14" s="25">
        <v>36100</v>
      </c>
      <c r="D14" s="24">
        <v>320</v>
      </c>
      <c r="E14" s="24">
        <v>8</v>
      </c>
      <c r="F14" s="28">
        <f t="shared" si="0"/>
        <v>8735.0835200000001</v>
      </c>
      <c r="I14" t="s">
        <v>27</v>
      </c>
      <c r="J14">
        <f>('General Walk in Cooler'!E7*0.6112*EXP(17.625*J8/(243.12+J8))/100)</f>
        <v>2.2565022316808898</v>
      </c>
      <c r="K14" s="28"/>
      <c r="M14" s="25">
        <v>27500</v>
      </c>
      <c r="N14" s="24">
        <v>960</v>
      </c>
      <c r="O14" s="24">
        <v>3</v>
      </c>
      <c r="P14" s="28">
        <f t="shared" si="1"/>
        <v>9008.0548799999997</v>
      </c>
      <c r="S14" t="s">
        <v>27</v>
      </c>
      <c r="T14">
        <f>('General Walk in Freezer'!E7*0.6112*EXP(17.625*T8/(243.12+T8))/100)</f>
        <v>2.2565022316808898</v>
      </c>
      <c r="U14" s="28"/>
    </row>
    <row r="15" spans="3:21" x14ac:dyDescent="0.3">
      <c r="C15" s="25">
        <v>45100</v>
      </c>
      <c r="D15" s="24">
        <v>960</v>
      </c>
      <c r="E15" s="24">
        <v>2</v>
      </c>
      <c r="F15" s="28">
        <f t="shared" si="0"/>
        <v>6551.3126399999992</v>
      </c>
      <c r="I15" t="s">
        <v>28</v>
      </c>
      <c r="J15">
        <f>('General Walk in Cooler'!E6*0.6112*EXP(17.625*J9/(243.12+J9))/100)</f>
        <v>0.55130221185110728</v>
      </c>
      <c r="K15" s="28"/>
      <c r="M15" s="25">
        <v>36100</v>
      </c>
      <c r="N15" s="24">
        <v>960</v>
      </c>
      <c r="O15" s="24">
        <v>4</v>
      </c>
      <c r="P15" s="28">
        <f>N15*O15*22*3.412142/24</f>
        <v>12010.73984</v>
      </c>
      <c r="S15" t="s">
        <v>28</v>
      </c>
      <c r="T15">
        <f>('General Walk in Freezer'!E6*0.6112*EXP(17.625*T9/(243.12+T9))/100)</f>
        <v>8.9389062386204546E-2</v>
      </c>
      <c r="U15" s="28"/>
    </row>
    <row r="16" spans="3:21" x14ac:dyDescent="0.3">
      <c r="C16" s="25">
        <v>58100</v>
      </c>
      <c r="D16" s="24">
        <v>960</v>
      </c>
      <c r="E16" s="24">
        <v>3</v>
      </c>
      <c r="F16" s="28">
        <f t="shared" si="0"/>
        <v>9826.9689600000002</v>
      </c>
      <c r="K16" s="28"/>
      <c r="M16" s="25">
        <v>58100</v>
      </c>
      <c r="N16" s="24">
        <v>960</v>
      </c>
      <c r="O16" s="24">
        <v>6</v>
      </c>
      <c r="P16" s="28">
        <f>N16*O16*22*3.412142/24</f>
        <v>18016.109759999999</v>
      </c>
      <c r="U16" s="28"/>
    </row>
    <row r="17" spans="3:21" x14ac:dyDescent="0.3">
      <c r="C17" s="25">
        <v>105100</v>
      </c>
      <c r="D17" s="24">
        <v>960</v>
      </c>
      <c r="E17" s="24">
        <v>6</v>
      </c>
      <c r="F17" s="28">
        <f t="shared" si="0"/>
        <v>19653.93792</v>
      </c>
      <c r="I17" t="s">
        <v>36</v>
      </c>
      <c r="J17" s="8">
        <f>'General Walk in Cooler'!E5</f>
        <v>85</v>
      </c>
      <c r="K17" s="28"/>
      <c r="M17" s="25">
        <v>105100</v>
      </c>
      <c r="N17" s="24">
        <v>960</v>
      </c>
      <c r="O17" s="24">
        <v>6</v>
      </c>
      <c r="P17" s="28">
        <f>N17*O17*22*3.412142/24</f>
        <v>18016.109759999999</v>
      </c>
      <c r="S17" t="s">
        <v>36</v>
      </c>
      <c r="T17" s="8">
        <f>'General Walk in Freezer'!E5</f>
        <v>85</v>
      </c>
      <c r="U17" s="28"/>
    </row>
    <row r="18" spans="3:21" x14ac:dyDescent="0.3">
      <c r="C18" s="25">
        <v>155000</v>
      </c>
      <c r="D18" s="24">
        <v>960</v>
      </c>
      <c r="E18" s="24">
        <v>8</v>
      </c>
      <c r="F18" s="28">
        <f t="shared" si="0"/>
        <v>26205.250559999997</v>
      </c>
      <c r="I18" t="s">
        <v>37</v>
      </c>
      <c r="J18" s="8">
        <f>'General Walk in Cooler'!E4</f>
        <v>35</v>
      </c>
      <c r="K18" s="28"/>
      <c r="M18" s="25">
        <v>155000</v>
      </c>
      <c r="N18" s="24">
        <v>960</v>
      </c>
      <c r="O18" s="24">
        <v>6</v>
      </c>
      <c r="P18" s="28">
        <f>N18*O18*22*3.412142/24</f>
        <v>18016.109759999999</v>
      </c>
      <c r="S18" t="s">
        <v>37</v>
      </c>
      <c r="T18" s="8">
        <f>'General Walk in Freezer'!E4</f>
        <v>-10</v>
      </c>
      <c r="U18" s="28"/>
    </row>
    <row r="19" spans="3:21" x14ac:dyDescent="0.3">
      <c r="C19" s="26">
        <v>10000000000</v>
      </c>
      <c r="D19" s="20"/>
      <c r="E19" s="20"/>
      <c r="F19" s="29" t="s">
        <v>39</v>
      </c>
      <c r="K19" s="28"/>
      <c r="M19" s="25">
        <v>177500</v>
      </c>
      <c r="N19" s="24">
        <v>960</v>
      </c>
      <c r="O19" s="24">
        <v>12</v>
      </c>
      <c r="P19" s="28">
        <f>N19*O19*22*3.412142/24</f>
        <v>36032.219519999999</v>
      </c>
      <c r="U19" s="28"/>
    </row>
    <row r="20" spans="3:21" x14ac:dyDescent="0.3">
      <c r="C20" s="33"/>
      <c r="I20" t="s">
        <v>40</v>
      </c>
      <c r="J20">
        <f>1.006*J8+J10*(2501+1.86*J8)</f>
        <v>65.829714684529321</v>
      </c>
      <c r="K20" s="28"/>
      <c r="M20" s="26">
        <v>10000000000</v>
      </c>
      <c r="N20" s="20"/>
      <c r="O20" s="20"/>
      <c r="P20" s="29" t="s">
        <v>39</v>
      </c>
      <c r="S20" t="s">
        <v>40</v>
      </c>
      <c r="T20">
        <f>1.006*T8+T10*(2501+1.86*T8)</f>
        <v>65.829714684529321</v>
      </c>
      <c r="U20" s="28"/>
    </row>
    <row r="21" spans="3:21" x14ac:dyDescent="0.3">
      <c r="C21" s="33"/>
      <c r="I21" t="s">
        <v>41</v>
      </c>
      <c r="J21">
        <f>1.006*J9+J11*(2501+1.86*J9)</f>
        <v>10.197549488038298</v>
      </c>
      <c r="K21" s="28"/>
      <c r="M21" s="33"/>
      <c r="S21" t="s">
        <v>41</v>
      </c>
      <c r="T21">
        <f>1.006*T9+T11*(2501+1.86*T9)</f>
        <v>-22.123585444418485</v>
      </c>
      <c r="U21" s="28"/>
    </row>
    <row r="22" spans="3:21" x14ac:dyDescent="0.3">
      <c r="C22" s="33"/>
      <c r="K22" s="28"/>
      <c r="M22" s="33"/>
      <c r="U22" s="28"/>
    </row>
    <row r="23" spans="3:21" x14ac:dyDescent="0.3">
      <c r="C23" s="33"/>
      <c r="I23" t="s">
        <v>42</v>
      </c>
      <c r="J23">
        <f>J20-J21</f>
        <v>55.632165196491023</v>
      </c>
      <c r="K23" s="28"/>
      <c r="M23" s="33"/>
      <c r="S23" t="s">
        <v>42</v>
      </c>
      <c r="T23">
        <f>T20-T21</f>
        <v>87.953300128947802</v>
      </c>
      <c r="U23" s="28"/>
    </row>
    <row r="24" spans="3:21" x14ac:dyDescent="0.3">
      <c r="C24" s="17"/>
      <c r="D24" s="34"/>
      <c r="E24" s="34"/>
      <c r="F24" s="34"/>
      <c r="G24" s="34"/>
      <c r="H24" s="34"/>
      <c r="I24" s="34"/>
      <c r="J24" s="34"/>
      <c r="K24" s="18"/>
      <c r="M24" s="17"/>
      <c r="N24" s="34"/>
      <c r="O24" s="34"/>
      <c r="P24" s="34"/>
      <c r="Q24" s="34"/>
      <c r="R24" s="34"/>
      <c r="S24" s="34"/>
      <c r="T24" s="34"/>
      <c r="U24" s="18"/>
    </row>
    <row r="27" spans="3:21" x14ac:dyDescent="0.3">
      <c r="C27" s="64" t="s">
        <v>45</v>
      </c>
      <c r="D27" s="65"/>
      <c r="E27" s="65"/>
      <c r="F27" s="65"/>
      <c r="G27" s="65"/>
      <c r="H27" s="65"/>
      <c r="I27" s="65"/>
      <c r="J27" s="65"/>
      <c r="K27" s="66"/>
      <c r="M27" s="64" t="s">
        <v>46</v>
      </c>
      <c r="N27" s="65"/>
      <c r="O27" s="65"/>
      <c r="P27" s="65"/>
      <c r="Q27" s="65"/>
      <c r="R27" s="65"/>
      <c r="S27" s="65"/>
      <c r="T27" s="65"/>
      <c r="U27" s="66"/>
    </row>
    <row r="28" spans="3:21" x14ac:dyDescent="0.3">
      <c r="C28" s="14" t="s">
        <v>31</v>
      </c>
      <c r="D28" s="23" t="s">
        <v>30</v>
      </c>
      <c r="E28" s="23" t="s">
        <v>32</v>
      </c>
      <c r="F28" s="30" t="s">
        <v>38</v>
      </c>
      <c r="I28" s="14" t="s">
        <v>6</v>
      </c>
      <c r="J28" s="21" t="s">
        <v>33</v>
      </c>
      <c r="K28" s="15" t="s">
        <v>34</v>
      </c>
      <c r="M28" s="14" t="s">
        <v>31</v>
      </c>
      <c r="N28" s="23" t="s">
        <v>30</v>
      </c>
      <c r="O28" s="23" t="s">
        <v>32</v>
      </c>
      <c r="P28" s="30" t="s">
        <v>38</v>
      </c>
      <c r="S28" s="14" t="s">
        <v>6</v>
      </c>
      <c r="T28" s="21" t="s">
        <v>33</v>
      </c>
      <c r="U28" s="15" t="s">
        <v>34</v>
      </c>
    </row>
    <row r="29" spans="3:21" x14ac:dyDescent="0.3">
      <c r="C29" s="27">
        <v>0</v>
      </c>
      <c r="D29" s="24">
        <v>100</v>
      </c>
      <c r="E29" s="24">
        <v>1</v>
      </c>
      <c r="F29" s="28">
        <f>D29*E29*3.412142</f>
        <v>341.21420000000001</v>
      </c>
      <c r="I29" s="16" t="s">
        <v>22</v>
      </c>
      <c r="J29" s="19">
        <f>(1.8408+0.5148*(J42-J43))*(('Convenience Store Cooler'!E9*'Convenience Store Cooler'!F9)^(0.679)/(200^0.679))</f>
        <v>157.26210539020514</v>
      </c>
      <c r="K29" s="22">
        <f>2*65.3*J29</f>
        <v>20538.430963960789</v>
      </c>
      <c r="M29" s="27">
        <v>0</v>
      </c>
      <c r="N29" s="24">
        <v>100</v>
      </c>
      <c r="O29" s="24">
        <v>1</v>
      </c>
      <c r="P29" s="28">
        <f>N29*O29*3.412142</f>
        <v>341.21420000000001</v>
      </c>
      <c r="S29" s="16" t="s">
        <v>22</v>
      </c>
      <c r="T29" s="19">
        <f>(1.8408+0.5148*(T42-T43))*(('Produce Cooler'!E9*'Produce Cooler'!F9)^(0.679)/(200^0.679))</f>
        <v>189.63671223909333</v>
      </c>
      <c r="U29" s="22">
        <f>2*46.5*T29</f>
        <v>17636.21423823568</v>
      </c>
    </row>
    <row r="30" spans="3:21" x14ac:dyDescent="0.3">
      <c r="C30" s="25">
        <v>600</v>
      </c>
      <c r="D30" s="24">
        <v>100</v>
      </c>
      <c r="E30" s="24">
        <v>2</v>
      </c>
      <c r="F30" s="28">
        <f>D30*E30*3.412142</f>
        <v>682.42840000000001</v>
      </c>
      <c r="I30" s="17" t="s">
        <v>35</v>
      </c>
      <c r="J30" s="20"/>
      <c r="K30" s="18">
        <f>(1/3.12)*'Convenience Store Cooler'!E9*'Convenience Store Cooler'!F9*(J42-J43)</f>
        <v>43269.230769230773</v>
      </c>
      <c r="M30" s="25">
        <v>600</v>
      </c>
      <c r="N30" s="24">
        <v>100</v>
      </c>
      <c r="O30" s="24">
        <v>2</v>
      </c>
      <c r="P30" s="28">
        <f>N30*O30*3.412142</f>
        <v>682.42840000000001</v>
      </c>
      <c r="S30" s="17" t="s">
        <v>35</v>
      </c>
      <c r="T30" s="20"/>
      <c r="U30" s="18">
        <f>(1/3.12)*'Produce Cooler'!E9*'Produce Cooler'!F9*(T42-T43)</f>
        <v>52884.615384615383</v>
      </c>
    </row>
    <row r="31" spans="3:21" x14ac:dyDescent="0.3">
      <c r="C31" s="25">
        <v>1350</v>
      </c>
      <c r="D31" s="24">
        <v>100</v>
      </c>
      <c r="E31" s="24">
        <v>3</v>
      </c>
      <c r="F31" s="28">
        <f t="shared" ref="F31:F43" si="2">D31*E31*3.412142</f>
        <v>1023.6425999999999</v>
      </c>
      <c r="K31" s="28"/>
      <c r="M31" s="25">
        <v>1350</v>
      </c>
      <c r="N31" s="24">
        <v>100</v>
      </c>
      <c r="O31" s="24">
        <v>3</v>
      </c>
      <c r="P31" s="28">
        <f t="shared" ref="P31:P43" si="3">N31*O31*3.412142</f>
        <v>1023.6425999999999</v>
      </c>
      <c r="U31" s="28"/>
    </row>
    <row r="32" spans="3:21" x14ac:dyDescent="0.3">
      <c r="C32" s="25">
        <v>2570</v>
      </c>
      <c r="D32" s="24">
        <v>100</v>
      </c>
      <c r="E32" s="24">
        <v>4</v>
      </c>
      <c r="F32" s="28">
        <f t="shared" si="2"/>
        <v>1364.8568</v>
      </c>
      <c r="K32" s="28"/>
      <c r="M32" s="25">
        <v>2570</v>
      </c>
      <c r="N32" s="24">
        <v>100</v>
      </c>
      <c r="O32" s="24">
        <v>4</v>
      </c>
      <c r="P32" s="28">
        <f t="shared" si="3"/>
        <v>1364.8568</v>
      </c>
      <c r="U32" s="28"/>
    </row>
    <row r="33" spans="3:21" x14ac:dyDescent="0.3">
      <c r="C33" s="25">
        <v>4810</v>
      </c>
      <c r="D33" s="24">
        <v>100</v>
      </c>
      <c r="E33" s="24">
        <v>5</v>
      </c>
      <c r="F33" s="28">
        <f t="shared" si="2"/>
        <v>1706.0709999999999</v>
      </c>
      <c r="H33" s="8"/>
      <c r="I33" t="s">
        <v>24</v>
      </c>
      <c r="J33" s="10">
        <f>(J42-32)/1.8</f>
        <v>29.444444444444443</v>
      </c>
      <c r="K33" s="28"/>
      <c r="M33" s="25">
        <v>4810</v>
      </c>
      <c r="N33" s="24">
        <v>100</v>
      </c>
      <c r="O33" s="24">
        <v>5</v>
      </c>
      <c r="P33" s="28">
        <f t="shared" si="3"/>
        <v>1706.0709999999999</v>
      </c>
      <c r="R33" s="8"/>
      <c r="S33" t="s">
        <v>24</v>
      </c>
      <c r="T33" s="10">
        <f>(T42-32)/1.8</f>
        <v>29.444444444444443</v>
      </c>
      <c r="U33" s="28"/>
    </row>
    <row r="34" spans="3:21" x14ac:dyDescent="0.3">
      <c r="C34" s="25">
        <v>5770</v>
      </c>
      <c r="D34" s="24">
        <v>100</v>
      </c>
      <c r="E34" s="24">
        <v>6</v>
      </c>
      <c r="F34" s="28">
        <f t="shared" si="2"/>
        <v>2047.2851999999998</v>
      </c>
      <c r="I34" t="s">
        <v>25</v>
      </c>
      <c r="J34" s="10">
        <f>(J43-32)/1.8</f>
        <v>4.4444444444444446</v>
      </c>
      <c r="K34" s="28"/>
      <c r="M34" s="25">
        <v>5770</v>
      </c>
      <c r="N34" s="24">
        <v>100</v>
      </c>
      <c r="O34" s="24">
        <v>6</v>
      </c>
      <c r="P34" s="28">
        <f t="shared" si="3"/>
        <v>2047.2851999999998</v>
      </c>
      <c r="S34" t="s">
        <v>25</v>
      </c>
      <c r="T34" s="10">
        <f>(T43-32)/1.8</f>
        <v>-1.1111111111111112</v>
      </c>
      <c r="U34" s="28"/>
    </row>
    <row r="35" spans="3:21" x14ac:dyDescent="0.3">
      <c r="C35" s="25">
        <v>6260</v>
      </c>
      <c r="D35" s="24">
        <v>320</v>
      </c>
      <c r="E35" s="24">
        <v>2</v>
      </c>
      <c r="F35" s="28">
        <f t="shared" si="2"/>
        <v>2183.77088</v>
      </c>
      <c r="I35" t="s">
        <v>26</v>
      </c>
      <c r="J35">
        <f>0.622*J39/(101.325-J39)</f>
        <v>1.4167413655426897E-2</v>
      </c>
      <c r="K35" s="28"/>
      <c r="M35" s="25">
        <v>6260</v>
      </c>
      <c r="N35" s="24">
        <v>320</v>
      </c>
      <c r="O35" s="24">
        <v>2</v>
      </c>
      <c r="P35" s="28">
        <f t="shared" si="3"/>
        <v>2183.77088</v>
      </c>
      <c r="S35" t="s">
        <v>26</v>
      </c>
      <c r="T35">
        <f>0.622*T39/(101.325-T39)</f>
        <v>1.4167413655426897E-2</v>
      </c>
      <c r="U35" s="28"/>
    </row>
    <row r="36" spans="3:21" x14ac:dyDescent="0.3">
      <c r="C36" s="25">
        <v>12100</v>
      </c>
      <c r="D36" s="24">
        <v>320</v>
      </c>
      <c r="E36" s="24">
        <v>3</v>
      </c>
      <c r="F36" s="28">
        <f t="shared" si="2"/>
        <v>3275.6563199999996</v>
      </c>
      <c r="I36" t="s">
        <v>29</v>
      </c>
      <c r="J36" s="32">
        <f>0.622*J40/(101.325-J40)</f>
        <v>4.041870619785325E-3</v>
      </c>
      <c r="K36" s="28"/>
      <c r="M36" s="25">
        <v>12100</v>
      </c>
      <c r="N36" s="24">
        <v>320</v>
      </c>
      <c r="O36" s="24">
        <v>3</v>
      </c>
      <c r="P36" s="28">
        <f t="shared" si="3"/>
        <v>3275.6563199999996</v>
      </c>
      <c r="S36" t="s">
        <v>29</v>
      </c>
      <c r="T36" s="32">
        <f>0.622*T40/(101.325-T40)</f>
        <v>3.0251045184266647E-3</v>
      </c>
      <c r="U36" s="28"/>
    </row>
    <row r="37" spans="3:21" x14ac:dyDescent="0.3">
      <c r="C37" s="25">
        <v>16900</v>
      </c>
      <c r="D37" s="24">
        <v>320</v>
      </c>
      <c r="E37" s="24">
        <v>4</v>
      </c>
      <c r="F37" s="28">
        <f t="shared" si="2"/>
        <v>4367.5417600000001</v>
      </c>
      <c r="K37" s="28"/>
      <c r="M37" s="25">
        <v>16900</v>
      </c>
      <c r="N37" s="24">
        <v>320</v>
      </c>
      <c r="O37" s="24">
        <v>4</v>
      </c>
      <c r="P37" s="28">
        <f t="shared" si="3"/>
        <v>4367.5417600000001</v>
      </c>
      <c r="U37" s="28"/>
    </row>
    <row r="38" spans="3:21" x14ac:dyDescent="0.3">
      <c r="C38" s="25">
        <v>21700</v>
      </c>
      <c r="D38" s="24">
        <v>320</v>
      </c>
      <c r="E38" s="24">
        <v>6</v>
      </c>
      <c r="F38" s="28">
        <f t="shared" si="2"/>
        <v>6551.3126399999992</v>
      </c>
      <c r="K38" s="28"/>
      <c r="M38" s="25">
        <v>21700</v>
      </c>
      <c r="N38" s="24">
        <v>320</v>
      </c>
      <c r="O38" s="24">
        <v>6</v>
      </c>
      <c r="P38" s="28">
        <f t="shared" si="3"/>
        <v>6551.3126399999992</v>
      </c>
      <c r="U38" s="28"/>
    </row>
    <row r="39" spans="3:21" x14ac:dyDescent="0.3">
      <c r="C39" s="25">
        <v>36100</v>
      </c>
      <c r="D39" s="24">
        <v>320</v>
      </c>
      <c r="E39" s="24">
        <v>8</v>
      </c>
      <c r="F39" s="28">
        <f t="shared" si="2"/>
        <v>8735.0835200000001</v>
      </c>
      <c r="I39" t="s">
        <v>27</v>
      </c>
      <c r="J39">
        <f>('Convenience Store Cooler'!E7*0.6112*EXP(17.625*J33/(243.12+J33))/100)</f>
        <v>2.2565022316808898</v>
      </c>
      <c r="K39" s="28"/>
      <c r="M39" s="25">
        <v>36100</v>
      </c>
      <c r="N39" s="24">
        <v>320</v>
      </c>
      <c r="O39" s="24">
        <v>8</v>
      </c>
      <c r="P39" s="28">
        <f t="shared" si="3"/>
        <v>8735.0835200000001</v>
      </c>
      <c r="S39" t="s">
        <v>27</v>
      </c>
      <c r="T39">
        <f>('Produce Cooler'!E7*0.6112*EXP(17.625*T33/(243.12+T33))/100)</f>
        <v>2.2565022316808898</v>
      </c>
      <c r="U39" s="28"/>
    </row>
    <row r="40" spans="3:21" x14ac:dyDescent="0.3">
      <c r="C40" s="25">
        <v>45100</v>
      </c>
      <c r="D40" s="24">
        <v>960</v>
      </c>
      <c r="E40" s="24">
        <v>2</v>
      </c>
      <c r="F40" s="28">
        <f t="shared" si="2"/>
        <v>6551.3126399999992</v>
      </c>
      <c r="I40" t="s">
        <v>28</v>
      </c>
      <c r="J40">
        <f>('Convenience Store Cooler'!E6*0.6112*EXP(17.625*J34/(243.12+J34))/100)</f>
        <v>0.65417755547931389</v>
      </c>
      <c r="K40" s="28"/>
      <c r="M40" s="25">
        <v>45100</v>
      </c>
      <c r="N40" s="24">
        <v>960</v>
      </c>
      <c r="O40" s="24">
        <v>2</v>
      </c>
      <c r="P40" s="28">
        <f t="shared" si="3"/>
        <v>6551.3126399999992</v>
      </c>
      <c r="S40" t="s">
        <v>28</v>
      </c>
      <c r="T40">
        <f>('Produce Cooler'!E6*0.6112*EXP(17.625*T34/(243.12+T34))/100)</f>
        <v>0.49041024610643491</v>
      </c>
      <c r="U40" s="28"/>
    </row>
    <row r="41" spans="3:21" x14ac:dyDescent="0.3">
      <c r="C41" s="25">
        <v>58100</v>
      </c>
      <c r="D41" s="24">
        <v>960</v>
      </c>
      <c r="E41" s="24">
        <v>3</v>
      </c>
      <c r="F41" s="28">
        <f t="shared" si="2"/>
        <v>9826.9689600000002</v>
      </c>
      <c r="K41" s="28"/>
      <c r="M41" s="25">
        <v>58100</v>
      </c>
      <c r="N41" s="24">
        <v>960</v>
      </c>
      <c r="O41" s="24">
        <v>3</v>
      </c>
      <c r="P41" s="28">
        <f t="shared" si="3"/>
        <v>9826.9689600000002</v>
      </c>
      <c r="U41" s="28"/>
    </row>
    <row r="42" spans="3:21" x14ac:dyDescent="0.3">
      <c r="C42" s="25">
        <v>105100</v>
      </c>
      <c r="D42" s="24">
        <v>960</v>
      </c>
      <c r="E42" s="24">
        <v>6</v>
      </c>
      <c r="F42" s="28">
        <f t="shared" si="2"/>
        <v>19653.93792</v>
      </c>
      <c r="I42" t="s">
        <v>36</v>
      </c>
      <c r="J42" s="8">
        <f>'Convenience Store Cooler'!E5</f>
        <v>85</v>
      </c>
      <c r="K42" s="28"/>
      <c r="M42" s="25">
        <v>105100</v>
      </c>
      <c r="N42" s="24">
        <v>960</v>
      </c>
      <c r="O42" s="24">
        <v>6</v>
      </c>
      <c r="P42" s="28">
        <f t="shared" si="3"/>
        <v>19653.93792</v>
      </c>
      <c r="S42" t="s">
        <v>36</v>
      </c>
      <c r="T42" s="8">
        <f>'Produce Cooler'!E5</f>
        <v>85</v>
      </c>
      <c r="U42" s="28"/>
    </row>
    <row r="43" spans="3:21" x14ac:dyDescent="0.3">
      <c r="C43" s="25">
        <v>155000</v>
      </c>
      <c r="D43" s="24">
        <v>960</v>
      </c>
      <c r="E43" s="24">
        <v>8</v>
      </c>
      <c r="F43" s="28">
        <f t="shared" si="2"/>
        <v>26205.250559999997</v>
      </c>
      <c r="I43" t="s">
        <v>37</v>
      </c>
      <c r="J43" s="8">
        <f>'Convenience Store Cooler'!E4</f>
        <v>40</v>
      </c>
      <c r="K43" s="28"/>
      <c r="M43" s="25">
        <v>155000</v>
      </c>
      <c r="N43" s="24">
        <v>960</v>
      </c>
      <c r="O43" s="24">
        <v>8</v>
      </c>
      <c r="P43" s="28">
        <f t="shared" si="3"/>
        <v>26205.250559999997</v>
      </c>
      <c r="S43" t="s">
        <v>37</v>
      </c>
      <c r="T43" s="8">
        <f>'Produce Cooler'!E4</f>
        <v>30</v>
      </c>
      <c r="U43" s="28"/>
    </row>
    <row r="44" spans="3:21" x14ac:dyDescent="0.3">
      <c r="C44" s="26">
        <v>10000000000</v>
      </c>
      <c r="D44" s="20"/>
      <c r="E44" s="20"/>
      <c r="F44" s="29" t="s">
        <v>39</v>
      </c>
      <c r="K44" s="28"/>
      <c r="M44" s="26">
        <v>10000000000</v>
      </c>
      <c r="N44" s="20"/>
      <c r="O44" s="20"/>
      <c r="P44" s="29" t="s">
        <v>39</v>
      </c>
      <c r="U44" s="28"/>
    </row>
    <row r="45" spans="3:21" x14ac:dyDescent="0.3">
      <c r="C45" s="33"/>
      <c r="I45" t="s">
        <v>40</v>
      </c>
      <c r="J45">
        <f>1.006*J33+J35*(2501+1.86*J33)</f>
        <v>65.829714684529321</v>
      </c>
      <c r="K45" s="28"/>
      <c r="M45" s="33"/>
      <c r="S45" t="s">
        <v>40</v>
      </c>
      <c r="T45">
        <f>1.006*T33+T35*(2501+1.86*T33)</f>
        <v>65.829714684529321</v>
      </c>
      <c r="U45" s="28"/>
    </row>
    <row r="46" spans="3:21" x14ac:dyDescent="0.3">
      <c r="C46" s="33"/>
      <c r="I46" t="s">
        <v>41</v>
      </c>
      <c r="J46">
        <f>1.006*J34+J36*(2501+1.86*J34)</f>
        <v>14.613242328317767</v>
      </c>
      <c r="K46" s="28"/>
      <c r="M46" s="33"/>
      <c r="S46" t="s">
        <v>41</v>
      </c>
      <c r="T46">
        <f>1.006*T34+T36*(2501+1.86*T34)</f>
        <v>6.4417567401358955</v>
      </c>
      <c r="U46" s="28"/>
    </row>
    <row r="47" spans="3:21" x14ac:dyDescent="0.3">
      <c r="C47" s="33"/>
      <c r="K47" s="28"/>
      <c r="M47" s="33"/>
      <c r="U47" s="28"/>
    </row>
    <row r="48" spans="3:21" x14ac:dyDescent="0.3">
      <c r="C48" s="33"/>
      <c r="I48" t="s">
        <v>42</v>
      </c>
      <c r="J48">
        <f>J45-J46</f>
        <v>51.216472356211554</v>
      </c>
      <c r="K48" s="28"/>
      <c r="M48" s="33"/>
      <c r="S48" t="s">
        <v>42</v>
      </c>
      <c r="T48">
        <f>T45-T46</f>
        <v>59.387957944393428</v>
      </c>
      <c r="U48" s="28"/>
    </row>
    <row r="49" spans="3:21" x14ac:dyDescent="0.3">
      <c r="C49" s="17"/>
      <c r="D49" s="34"/>
      <c r="E49" s="34"/>
      <c r="F49" s="34"/>
      <c r="G49" s="34"/>
      <c r="H49" s="34"/>
      <c r="I49" s="34"/>
      <c r="J49" s="34"/>
      <c r="K49" s="18"/>
      <c r="M49" s="17"/>
      <c r="N49" s="34"/>
      <c r="O49" s="34"/>
      <c r="P49" s="34"/>
      <c r="Q49" s="34"/>
      <c r="R49" s="34"/>
      <c r="S49" s="34"/>
      <c r="T49" s="34"/>
      <c r="U49" s="18"/>
    </row>
    <row r="52" spans="3:21" x14ac:dyDescent="0.3">
      <c r="C52" s="64" t="s">
        <v>48</v>
      </c>
      <c r="D52" s="65"/>
      <c r="E52" s="65"/>
      <c r="F52" s="65"/>
      <c r="G52" s="65"/>
      <c r="H52" s="65"/>
      <c r="I52" s="65"/>
      <c r="J52" s="65"/>
      <c r="K52" s="66"/>
      <c r="M52" s="64" t="s">
        <v>49</v>
      </c>
      <c r="N52" s="65"/>
      <c r="O52" s="65"/>
      <c r="P52" s="65"/>
      <c r="Q52" s="65"/>
      <c r="R52" s="65"/>
      <c r="S52" s="65"/>
      <c r="T52" s="65"/>
      <c r="U52" s="66"/>
    </row>
    <row r="53" spans="3:21" x14ac:dyDescent="0.3">
      <c r="C53" s="14" t="s">
        <v>31</v>
      </c>
      <c r="D53" s="23" t="s">
        <v>30</v>
      </c>
      <c r="E53" s="23" t="s">
        <v>32</v>
      </c>
      <c r="F53" s="30" t="s">
        <v>38</v>
      </c>
      <c r="I53" s="14" t="s">
        <v>6</v>
      </c>
      <c r="J53" s="21" t="s">
        <v>33</v>
      </c>
      <c r="K53" s="15" t="s">
        <v>34</v>
      </c>
      <c r="M53" s="14" t="s">
        <v>31</v>
      </c>
      <c r="N53" s="23" t="s">
        <v>30</v>
      </c>
      <c r="O53" s="23" t="s">
        <v>32</v>
      </c>
      <c r="P53" s="30" t="s">
        <v>38</v>
      </c>
      <c r="S53" s="14" t="s">
        <v>6</v>
      </c>
      <c r="T53" s="21" t="s">
        <v>33</v>
      </c>
      <c r="U53" s="15" t="s">
        <v>34</v>
      </c>
    </row>
    <row r="54" spans="3:21" x14ac:dyDescent="0.3">
      <c r="C54" s="27">
        <v>0</v>
      </c>
      <c r="D54" s="24">
        <v>100</v>
      </c>
      <c r="E54" s="24">
        <v>1</v>
      </c>
      <c r="F54" s="28">
        <f>D54*E54*3.412142</f>
        <v>341.21420000000001</v>
      </c>
      <c r="I54" s="16" t="s">
        <v>22</v>
      </c>
      <c r="J54" s="19">
        <f>('Warehouse Cooler'!E5-'Warehouse Cooler'!E4)^0.91513518466267</f>
        <v>32.577138863718105</v>
      </c>
      <c r="K54" s="22">
        <f>EXP(0.991883879131932)*('Warehouse Cooler'!E9*'Warehouse Cooler'!F9)^(0.635275411965873)*J54</f>
        <v>16374.830773940914</v>
      </c>
      <c r="M54" s="27">
        <v>0</v>
      </c>
      <c r="N54" s="24">
        <v>100</v>
      </c>
      <c r="O54" s="24">
        <v>1</v>
      </c>
      <c r="P54" s="28">
        <f>N54*O54*3.412142</f>
        <v>341.21420000000001</v>
      </c>
      <c r="S54" s="16" t="s">
        <v>22</v>
      </c>
      <c r="T54" s="19">
        <f>('Warehouse Freezer'!E5-'Warehouse Freezer'!E4)^0.913642399281563</f>
        <v>70.249662257451106</v>
      </c>
      <c r="U54" s="22">
        <f>EXP(-1.31437717918479)*('Warehouse Freezer'!E9*'Warehouse Freezer'!F9)^(0.771711716483402)*T54</f>
        <v>12446.418057531191</v>
      </c>
    </row>
    <row r="55" spans="3:21" x14ac:dyDescent="0.3">
      <c r="C55" s="25">
        <v>600</v>
      </c>
      <c r="D55" s="24">
        <v>100</v>
      </c>
      <c r="E55" s="24">
        <v>2</v>
      </c>
      <c r="F55" s="28">
        <f>D55*E55*3.412142</f>
        <v>682.42840000000001</v>
      </c>
      <c r="I55" s="17" t="s">
        <v>35</v>
      </c>
      <c r="J55" s="20"/>
      <c r="K55" s="18">
        <f>(1/3.12)*'Warehouse Cooler'!E9*'Warehouse Cooler'!F9*(J67-J68)</f>
        <v>54086.538461538461</v>
      </c>
      <c r="M55" s="25">
        <v>600</v>
      </c>
      <c r="N55" s="24">
        <v>100</v>
      </c>
      <c r="O55" s="24">
        <v>2</v>
      </c>
      <c r="P55" s="28">
        <f>N55*O55*3.412142</f>
        <v>682.42840000000001</v>
      </c>
      <c r="S55" s="17" t="s">
        <v>35</v>
      </c>
      <c r="T55" s="20"/>
      <c r="U55" s="18">
        <f>(1/32.316)*'Warehouse Freezer'!E9*'Warehouse Freezer'!F9*(T67-T68)</f>
        <v>14621.240252506497</v>
      </c>
    </row>
    <row r="56" spans="3:21" x14ac:dyDescent="0.3">
      <c r="C56" s="25">
        <v>1350</v>
      </c>
      <c r="D56" s="24">
        <v>100</v>
      </c>
      <c r="E56" s="24">
        <v>3</v>
      </c>
      <c r="F56" s="28">
        <f t="shared" ref="F56:F68" si="4">D56*E56*3.412142</f>
        <v>1023.6425999999999</v>
      </c>
      <c r="K56" s="28"/>
      <c r="M56" s="25">
        <v>1350</v>
      </c>
      <c r="N56" s="24">
        <v>100</v>
      </c>
      <c r="O56" s="24">
        <v>3</v>
      </c>
      <c r="P56" s="28">
        <f t="shared" ref="P56:P69" si="5">N56*O56*3.412142</f>
        <v>1023.6425999999999</v>
      </c>
      <c r="U56" s="28"/>
    </row>
    <row r="57" spans="3:21" x14ac:dyDescent="0.3">
      <c r="C57" s="25">
        <v>2570</v>
      </c>
      <c r="D57" s="24">
        <v>100</v>
      </c>
      <c r="E57" s="24">
        <v>4</v>
      </c>
      <c r="F57" s="28">
        <f t="shared" si="4"/>
        <v>1364.8568</v>
      </c>
      <c r="K57" s="28"/>
      <c r="M57" s="25">
        <v>2570</v>
      </c>
      <c r="N57" s="24">
        <v>100</v>
      </c>
      <c r="O57" s="24">
        <v>4</v>
      </c>
      <c r="P57" s="28">
        <f t="shared" si="5"/>
        <v>1364.8568</v>
      </c>
      <c r="U57" s="28"/>
    </row>
    <row r="58" spans="3:21" x14ac:dyDescent="0.3">
      <c r="C58" s="25">
        <v>4810</v>
      </c>
      <c r="D58" s="24">
        <v>100</v>
      </c>
      <c r="E58" s="24">
        <v>5</v>
      </c>
      <c r="F58" s="28">
        <f t="shared" si="4"/>
        <v>1706.0709999999999</v>
      </c>
      <c r="H58" s="8"/>
      <c r="I58" t="s">
        <v>24</v>
      </c>
      <c r="J58" s="10">
        <f>(J67-32)/1.8</f>
        <v>29.444444444444443</v>
      </c>
      <c r="K58" s="28"/>
      <c r="M58" s="25">
        <v>4810</v>
      </c>
      <c r="N58" s="24">
        <v>100</v>
      </c>
      <c r="O58" s="24">
        <v>5</v>
      </c>
      <c r="P58" s="28">
        <f t="shared" si="5"/>
        <v>1706.0709999999999</v>
      </c>
      <c r="R58" s="8"/>
      <c r="S58" t="s">
        <v>24</v>
      </c>
      <c r="T58" s="10">
        <f>(T67-32)/1.8</f>
        <v>29.444444444444443</v>
      </c>
      <c r="U58" s="28"/>
    </row>
    <row r="59" spans="3:21" x14ac:dyDescent="0.3">
      <c r="C59" s="25">
        <v>5770</v>
      </c>
      <c r="D59" s="24">
        <v>100</v>
      </c>
      <c r="E59" s="24">
        <v>6</v>
      </c>
      <c r="F59" s="28">
        <f t="shared" si="4"/>
        <v>2047.2851999999998</v>
      </c>
      <c r="I59" t="s">
        <v>25</v>
      </c>
      <c r="J59" s="10">
        <f>(J68-32)/1.8</f>
        <v>4.4444444444444446</v>
      </c>
      <c r="K59" s="28"/>
      <c r="M59" s="25">
        <v>5770</v>
      </c>
      <c r="N59" s="24">
        <v>100</v>
      </c>
      <c r="O59" s="24">
        <v>6</v>
      </c>
      <c r="P59" s="28">
        <f t="shared" si="5"/>
        <v>2047.2851999999998</v>
      </c>
      <c r="S59" t="s">
        <v>25</v>
      </c>
      <c r="T59" s="10">
        <f>(T68-32)/1.8</f>
        <v>-28.888888888888889</v>
      </c>
      <c r="U59" s="28"/>
    </row>
    <row r="60" spans="3:21" x14ac:dyDescent="0.3">
      <c r="C60" s="25">
        <v>6260</v>
      </c>
      <c r="D60" s="24">
        <v>320</v>
      </c>
      <c r="E60" s="24">
        <v>2</v>
      </c>
      <c r="F60" s="28">
        <f t="shared" si="4"/>
        <v>2183.77088</v>
      </c>
      <c r="I60" t="s">
        <v>26</v>
      </c>
      <c r="J60">
        <f>0.622*J64/(101.325-J64)</f>
        <v>1.4167413655426897E-2</v>
      </c>
      <c r="K60" s="28"/>
      <c r="M60" s="25">
        <v>6260</v>
      </c>
      <c r="N60" s="24">
        <v>320</v>
      </c>
      <c r="O60" s="24">
        <v>3</v>
      </c>
      <c r="P60" s="28">
        <f t="shared" si="5"/>
        <v>3275.6563199999996</v>
      </c>
      <c r="S60" t="s">
        <v>26</v>
      </c>
      <c r="T60">
        <f>0.622*T64/(101.325-T64)</f>
        <v>2.2170538901782486E-2</v>
      </c>
      <c r="U60" s="28"/>
    </row>
    <row r="61" spans="3:21" x14ac:dyDescent="0.3">
      <c r="C61" s="25">
        <v>12100</v>
      </c>
      <c r="D61" s="24">
        <v>320</v>
      </c>
      <c r="E61" s="24">
        <v>3</v>
      </c>
      <c r="F61" s="28">
        <f t="shared" si="4"/>
        <v>3275.6563199999996</v>
      </c>
      <c r="I61" t="s">
        <v>29</v>
      </c>
      <c r="J61" s="32">
        <f>0.622*J65/(101.325-J65)</f>
        <v>4.3027572049775652E-3</v>
      </c>
      <c r="K61" s="28"/>
      <c r="M61" s="25">
        <v>12100</v>
      </c>
      <c r="N61" s="24">
        <v>320</v>
      </c>
      <c r="O61" s="24">
        <v>3</v>
      </c>
      <c r="P61" s="28">
        <f t="shared" si="5"/>
        <v>3275.6563199999996</v>
      </c>
      <c r="S61" t="s">
        <v>29</v>
      </c>
      <c r="T61" s="32">
        <f>0.622*T65/(101.325-T65)</f>
        <v>3.3114401591649296E-4</v>
      </c>
      <c r="U61" s="28"/>
    </row>
    <row r="62" spans="3:21" x14ac:dyDescent="0.3">
      <c r="C62" s="25">
        <v>16900</v>
      </c>
      <c r="D62" s="24">
        <v>320</v>
      </c>
      <c r="E62" s="24">
        <v>4</v>
      </c>
      <c r="F62" s="28">
        <f t="shared" si="4"/>
        <v>4367.5417600000001</v>
      </c>
      <c r="K62" s="28"/>
      <c r="M62" s="25">
        <v>16900</v>
      </c>
      <c r="N62" s="24">
        <v>320</v>
      </c>
      <c r="O62" s="24">
        <v>4</v>
      </c>
      <c r="P62" s="28">
        <f t="shared" si="5"/>
        <v>4367.5417600000001</v>
      </c>
      <c r="U62" s="28"/>
    </row>
    <row r="63" spans="3:21" x14ac:dyDescent="0.3">
      <c r="C63" s="25">
        <v>21700</v>
      </c>
      <c r="D63" s="24">
        <v>320</v>
      </c>
      <c r="E63" s="24">
        <v>6</v>
      </c>
      <c r="F63" s="28">
        <f t="shared" si="4"/>
        <v>6551.3126399999992</v>
      </c>
      <c r="K63" s="28"/>
      <c r="M63" s="25">
        <v>21700</v>
      </c>
      <c r="N63" s="24">
        <v>960</v>
      </c>
      <c r="O63" s="24">
        <v>3</v>
      </c>
      <c r="P63" s="28">
        <f t="shared" si="5"/>
        <v>9826.9689600000002</v>
      </c>
      <c r="U63" s="28"/>
    </row>
    <row r="64" spans="3:21" x14ac:dyDescent="0.3">
      <c r="C64" s="25">
        <v>36100</v>
      </c>
      <c r="D64" s="24">
        <v>320</v>
      </c>
      <c r="E64" s="24">
        <v>8</v>
      </c>
      <c r="F64" s="28">
        <f t="shared" si="4"/>
        <v>8735.0835200000001</v>
      </c>
      <c r="I64" t="s">
        <v>27</v>
      </c>
      <c r="J64">
        <f>('Warehouse Cooler'!E7*0.6112*EXP(17.625*J58/(243.12+J58))/100)</f>
        <v>2.2565022316808898</v>
      </c>
      <c r="K64" s="28"/>
      <c r="M64" s="25">
        <v>36100</v>
      </c>
      <c r="N64" s="24">
        <v>960</v>
      </c>
      <c r="O64" s="24">
        <v>4</v>
      </c>
      <c r="P64" s="28">
        <f t="shared" si="5"/>
        <v>13102.625279999998</v>
      </c>
      <c r="S64" t="s">
        <v>27</v>
      </c>
      <c r="T64">
        <f>('Warehouse Freezer'!E5*0.6112*EXP(17.625*T58/(243.12+T58))/100)</f>
        <v>3.4873216307795571</v>
      </c>
      <c r="U64" s="28"/>
    </row>
    <row r="65" spans="3:21" x14ac:dyDescent="0.3">
      <c r="C65" s="25">
        <v>45100</v>
      </c>
      <c r="D65" s="24">
        <v>960</v>
      </c>
      <c r="E65" s="24">
        <v>2</v>
      </c>
      <c r="F65" s="28">
        <f t="shared" si="4"/>
        <v>6551.3126399999992</v>
      </c>
      <c r="I65" t="s">
        <v>28</v>
      </c>
      <c r="J65">
        <f>('Warehouse Cooler'!E6*0.6112*EXP(17.625*J59/(243.12+J59))/100)</f>
        <v>0.69611201416388535</v>
      </c>
      <c r="K65" s="28"/>
      <c r="M65" s="25">
        <v>45100</v>
      </c>
      <c r="N65" s="24">
        <v>960</v>
      </c>
      <c r="O65" s="24">
        <v>4</v>
      </c>
      <c r="P65" s="28">
        <f t="shared" si="5"/>
        <v>13102.625279999998</v>
      </c>
      <c r="S65" t="s">
        <v>28</v>
      </c>
      <c r="T65">
        <f>('Warehouse Freezer'!E6*0.6112*EXP(17.625*T59/(243.12+T59))/100)</f>
        <v>5.3915295314033829E-2</v>
      </c>
      <c r="U65" s="28"/>
    </row>
    <row r="66" spans="3:21" x14ac:dyDescent="0.3">
      <c r="C66" s="25">
        <v>58100</v>
      </c>
      <c r="D66" s="24">
        <v>960</v>
      </c>
      <c r="E66" s="24">
        <v>3</v>
      </c>
      <c r="F66" s="28">
        <f t="shared" si="4"/>
        <v>9826.9689600000002</v>
      </c>
      <c r="K66" s="28"/>
      <c r="M66" s="25">
        <v>58100</v>
      </c>
      <c r="N66" s="24">
        <v>960</v>
      </c>
      <c r="O66" s="24">
        <v>6</v>
      </c>
      <c r="P66" s="28">
        <f t="shared" si="5"/>
        <v>19653.93792</v>
      </c>
      <c r="U66" s="28"/>
    </row>
    <row r="67" spans="3:21" x14ac:dyDescent="0.3">
      <c r="C67" s="25">
        <v>105100</v>
      </c>
      <c r="D67" s="24">
        <v>960</v>
      </c>
      <c r="E67" s="24">
        <v>6</v>
      </c>
      <c r="F67" s="28">
        <f t="shared" si="4"/>
        <v>19653.93792</v>
      </c>
      <c r="I67" t="s">
        <v>36</v>
      </c>
      <c r="J67" s="8">
        <f>'Warehouse Cooler'!E5</f>
        <v>85</v>
      </c>
      <c r="K67" s="28"/>
      <c r="M67" s="25">
        <v>105100</v>
      </c>
      <c r="N67" s="24">
        <v>960</v>
      </c>
      <c r="O67" s="24">
        <v>6</v>
      </c>
      <c r="P67" s="28">
        <f t="shared" si="5"/>
        <v>19653.93792</v>
      </c>
      <c r="S67" t="s">
        <v>36</v>
      </c>
      <c r="T67" s="8">
        <f>'Warehouse Freezer'!E5</f>
        <v>85</v>
      </c>
      <c r="U67" s="28"/>
    </row>
    <row r="68" spans="3:21" x14ac:dyDescent="0.3">
      <c r="C68" s="25">
        <v>155000</v>
      </c>
      <c r="D68" s="24">
        <v>960</v>
      </c>
      <c r="E68" s="24">
        <v>8</v>
      </c>
      <c r="F68" s="28">
        <f t="shared" si="4"/>
        <v>26205.250559999997</v>
      </c>
      <c r="I68" t="s">
        <v>37</v>
      </c>
      <c r="J68" s="8">
        <f>'Warehouse Cooler'!E4</f>
        <v>40</v>
      </c>
      <c r="K68" s="28"/>
      <c r="M68" s="25">
        <v>155000</v>
      </c>
      <c r="N68" s="24">
        <v>960</v>
      </c>
      <c r="O68" s="24">
        <v>6</v>
      </c>
      <c r="P68" s="28">
        <f t="shared" si="5"/>
        <v>19653.93792</v>
      </c>
      <c r="S68" t="s">
        <v>37</v>
      </c>
      <c r="T68" s="8">
        <f>'Warehouse Freezer'!E4</f>
        <v>-20</v>
      </c>
      <c r="U68" s="28"/>
    </row>
    <row r="69" spans="3:21" x14ac:dyDescent="0.3">
      <c r="C69" s="26">
        <v>10000000000</v>
      </c>
      <c r="D69" s="20"/>
      <c r="E69" s="20"/>
      <c r="F69" s="29" t="s">
        <v>39</v>
      </c>
      <c r="K69" s="28"/>
      <c r="M69" s="25">
        <v>175500</v>
      </c>
      <c r="N69" s="24">
        <v>960</v>
      </c>
      <c r="O69" s="24">
        <v>12</v>
      </c>
      <c r="P69" s="28">
        <f t="shared" si="5"/>
        <v>39307.875840000001</v>
      </c>
      <c r="U69" s="28"/>
    </row>
    <row r="70" spans="3:21" x14ac:dyDescent="0.3">
      <c r="C70" s="33"/>
      <c r="I70" t="s">
        <v>40</v>
      </c>
      <c r="J70">
        <f>1.006*J58+J60*(2501+1.86*J58)</f>
        <v>65.829714684529321</v>
      </c>
      <c r="K70" s="28"/>
      <c r="M70" s="26">
        <v>10000000000</v>
      </c>
      <c r="N70" s="20"/>
      <c r="O70" s="20"/>
      <c r="P70" s="29" t="s">
        <v>39</v>
      </c>
      <c r="S70" t="s">
        <v>40</v>
      </c>
      <c r="T70">
        <f>1.006*T58+T60*(2501+1.86*T58)</f>
        <v>86.283835418323392</v>
      </c>
      <c r="U70" s="28"/>
    </row>
    <row r="71" spans="3:21" x14ac:dyDescent="0.3">
      <c r="C71" s="33"/>
      <c r="I71" t="s">
        <v>41</v>
      </c>
      <c r="J71">
        <f>1.006*J59+J61*(2501+1.86*J59)</f>
        <v>15.267876340321152</v>
      </c>
      <c r="K71" s="28"/>
      <c r="M71" s="33"/>
      <c r="S71" t="s">
        <v>41</v>
      </c>
      <c r="T71">
        <f>1.006*T59+T61*(2501+1.86*T59)</f>
        <v>-28.251824510203651</v>
      </c>
      <c r="U71" s="28"/>
    </row>
    <row r="72" spans="3:21" x14ac:dyDescent="0.3">
      <c r="C72" s="33"/>
      <c r="K72" s="28"/>
      <c r="M72" s="33"/>
      <c r="U72" s="28"/>
    </row>
    <row r="73" spans="3:21" x14ac:dyDescent="0.3">
      <c r="C73" s="33"/>
      <c r="I73" t="s">
        <v>42</v>
      </c>
      <c r="J73">
        <f>J70-J71</f>
        <v>50.561838344208169</v>
      </c>
      <c r="K73" s="28"/>
      <c r="M73" s="33"/>
      <c r="S73" t="s">
        <v>42</v>
      </c>
      <c r="T73">
        <f>T70-T71</f>
        <v>114.53565992852704</v>
      </c>
      <c r="U73" s="28"/>
    </row>
    <row r="74" spans="3:21" x14ac:dyDescent="0.3">
      <c r="C74" s="17"/>
      <c r="D74" s="34"/>
      <c r="E74" s="34"/>
      <c r="F74" s="34"/>
      <c r="G74" s="34"/>
      <c r="H74" s="34"/>
      <c r="I74" s="34"/>
      <c r="J74" s="34"/>
      <c r="K74" s="18"/>
      <c r="M74" s="17"/>
      <c r="N74" s="34"/>
      <c r="O74" s="34"/>
      <c r="P74" s="34"/>
      <c r="Q74" s="34"/>
      <c r="R74" s="34"/>
      <c r="S74" s="34"/>
      <c r="T74" s="34"/>
      <c r="U74" s="18"/>
    </row>
    <row r="77" spans="3:21" x14ac:dyDescent="0.3">
      <c r="C77" s="64" t="s">
        <v>50</v>
      </c>
      <c r="D77" s="65"/>
      <c r="E77" s="65"/>
      <c r="F77" s="65"/>
      <c r="G77" s="65"/>
      <c r="H77" s="65"/>
      <c r="I77" s="65"/>
      <c r="J77" s="65"/>
      <c r="K77" s="66"/>
      <c r="M77" s="64" t="s">
        <v>51</v>
      </c>
      <c r="N77" s="65"/>
      <c r="O77" s="65"/>
      <c r="P77" s="65"/>
      <c r="Q77" s="65"/>
      <c r="R77" s="65"/>
      <c r="S77" s="65"/>
      <c r="T77" s="65"/>
      <c r="U77" s="66"/>
    </row>
    <row r="78" spans="3:21" x14ac:dyDescent="0.3">
      <c r="C78" s="14" t="s">
        <v>31</v>
      </c>
      <c r="D78" s="23" t="s">
        <v>30</v>
      </c>
      <c r="E78" s="23" t="s">
        <v>32</v>
      </c>
      <c r="F78" s="30" t="s">
        <v>38</v>
      </c>
      <c r="I78" s="14" t="s">
        <v>6</v>
      </c>
      <c r="J78" s="21" t="s">
        <v>33</v>
      </c>
      <c r="K78" s="15" t="s">
        <v>34</v>
      </c>
      <c r="M78" s="14" t="s">
        <v>31</v>
      </c>
      <c r="N78" s="23" t="s">
        <v>30</v>
      </c>
      <c r="O78" s="23" t="s">
        <v>32</v>
      </c>
      <c r="P78" s="30" t="s">
        <v>38</v>
      </c>
      <c r="S78" s="14" t="s">
        <v>6</v>
      </c>
      <c r="T78" s="21" t="s">
        <v>33</v>
      </c>
      <c r="U78" s="15" t="s">
        <v>34</v>
      </c>
    </row>
    <row r="79" spans="3:21" x14ac:dyDescent="0.3">
      <c r="C79" s="27">
        <v>0</v>
      </c>
      <c r="D79" s="24">
        <v>100</v>
      </c>
      <c r="E79" s="24">
        <v>1</v>
      </c>
      <c r="F79" s="28">
        <f>D79*E79*3.412142</f>
        <v>341.21420000000001</v>
      </c>
      <c r="I79" s="16" t="s">
        <v>22</v>
      </c>
      <c r="J79" s="19">
        <f>('Floral Cooler'!E5-'Floral Cooler'!E4)^0.91513518466267</f>
        <v>45.610076367889583</v>
      </c>
      <c r="K79" s="22">
        <f>EXP(0.991883879131932)*('Floral Cooler'!E9*'Floral Cooler'!F9)^(0.635275411965873)*J79</f>
        <v>17719.77624829657</v>
      </c>
      <c r="M79" s="27">
        <v>0</v>
      </c>
      <c r="N79" s="24">
        <v>100</v>
      </c>
      <c r="O79" s="24">
        <v>1</v>
      </c>
      <c r="P79" s="28">
        <f>N79*O79*3.412142</f>
        <v>341.21420000000001</v>
      </c>
      <c r="S79" s="16" t="s">
        <v>22</v>
      </c>
      <c r="T79" s="38">
        <f>('Produce Warehouse'!E5-'Produce Warehouse'!E4)^0.91513518466267</f>
        <v>39.144173818759747</v>
      </c>
      <c r="U79" s="22">
        <f>EXP(0.991883879131932)*('Produce Warehouse'!E9*'Produce Warehouse'!F9)^(0.635275411965873)*T79</f>
        <v>22091.891993886227</v>
      </c>
    </row>
    <row r="80" spans="3:21" x14ac:dyDescent="0.3">
      <c r="C80" s="25">
        <v>600</v>
      </c>
      <c r="D80" s="24">
        <v>100</v>
      </c>
      <c r="E80" s="24">
        <v>2</v>
      </c>
      <c r="F80" s="28">
        <f>D80*E80*3.412142</f>
        <v>682.42840000000001</v>
      </c>
      <c r="I80" s="17" t="s">
        <v>35</v>
      </c>
      <c r="J80" s="20"/>
      <c r="K80" s="18">
        <f>(1/3.12)*'Floral Cooler'!E9*'Floral Cooler'!F9*(J92-J93)</f>
        <v>52083.333333333336</v>
      </c>
      <c r="M80" s="25">
        <v>600</v>
      </c>
      <c r="N80" s="24">
        <v>100</v>
      </c>
      <c r="O80" s="24">
        <v>2</v>
      </c>
      <c r="P80" s="28">
        <f>N80*O80*3.412142</f>
        <v>682.42840000000001</v>
      </c>
      <c r="S80" s="17" t="s">
        <v>35</v>
      </c>
      <c r="T80" s="20"/>
      <c r="U80" s="18">
        <f>(1/3.12)*'Produce Warehouse'!E9*'Produce Warehouse'!F9*(T92-T93)</f>
        <v>79326.923076923078</v>
      </c>
    </row>
    <row r="81" spans="3:21" x14ac:dyDescent="0.3">
      <c r="C81" s="25">
        <v>1350</v>
      </c>
      <c r="D81" s="24">
        <v>100</v>
      </c>
      <c r="E81" s="24">
        <v>3</v>
      </c>
      <c r="F81" s="28">
        <f t="shared" ref="F81:F93" si="6">D81*E81*3.412142</f>
        <v>1023.6425999999999</v>
      </c>
      <c r="K81" s="28"/>
      <c r="M81" s="25">
        <v>1350</v>
      </c>
      <c r="N81" s="24">
        <v>100</v>
      </c>
      <c r="O81" s="24">
        <v>3</v>
      </c>
      <c r="P81" s="28">
        <f t="shared" ref="P81:P93" si="7">N81*O81*3.412142</f>
        <v>1023.6425999999999</v>
      </c>
      <c r="U81" s="28"/>
    </row>
    <row r="82" spans="3:21" x14ac:dyDescent="0.3">
      <c r="C82" s="25">
        <v>2570</v>
      </c>
      <c r="D82" s="24">
        <v>100</v>
      </c>
      <c r="E82" s="24">
        <v>4</v>
      </c>
      <c r="F82" s="28">
        <f t="shared" si="6"/>
        <v>1364.8568</v>
      </c>
      <c r="K82" s="28"/>
      <c r="M82" s="25">
        <v>2570</v>
      </c>
      <c r="N82" s="24">
        <v>100</v>
      </c>
      <c r="O82" s="24">
        <v>4</v>
      </c>
      <c r="P82" s="28">
        <f t="shared" si="7"/>
        <v>1364.8568</v>
      </c>
      <c r="U82" s="28"/>
    </row>
    <row r="83" spans="3:21" x14ac:dyDescent="0.3">
      <c r="C83" s="25">
        <v>4810</v>
      </c>
      <c r="D83" s="24">
        <v>100</v>
      </c>
      <c r="E83" s="24">
        <v>5</v>
      </c>
      <c r="F83" s="28">
        <f t="shared" si="6"/>
        <v>1706.0709999999999</v>
      </c>
      <c r="H83" s="8"/>
      <c r="I83" t="s">
        <v>24</v>
      </c>
      <c r="J83" s="10">
        <f>(J92-32)/1.8</f>
        <v>37.777777777777779</v>
      </c>
      <c r="K83" s="28"/>
      <c r="M83" s="25">
        <v>4810</v>
      </c>
      <c r="N83" s="24">
        <v>100</v>
      </c>
      <c r="O83" s="24">
        <v>5</v>
      </c>
      <c r="P83" s="28">
        <f t="shared" si="7"/>
        <v>1706.0709999999999</v>
      </c>
      <c r="R83" s="8"/>
      <c r="S83" t="s">
        <v>24</v>
      </c>
      <c r="T83" s="10">
        <f>(T92-32)/1.8</f>
        <v>35</v>
      </c>
      <c r="U83" s="28"/>
    </row>
    <row r="84" spans="3:21" x14ac:dyDescent="0.3">
      <c r="C84" s="25">
        <v>5770</v>
      </c>
      <c r="D84" s="24">
        <v>100</v>
      </c>
      <c r="E84" s="24">
        <v>6</v>
      </c>
      <c r="F84" s="28">
        <f t="shared" si="6"/>
        <v>2047.2851999999998</v>
      </c>
      <c r="I84" t="s">
        <v>25</v>
      </c>
      <c r="J84" s="10">
        <f>(J93-32)/1.8</f>
        <v>1.6666666666666665</v>
      </c>
      <c r="K84" s="28"/>
      <c r="M84" s="25">
        <v>5770</v>
      </c>
      <c r="N84" s="24">
        <v>100</v>
      </c>
      <c r="O84" s="24">
        <v>6</v>
      </c>
      <c r="P84" s="28">
        <f t="shared" si="7"/>
        <v>2047.2851999999998</v>
      </c>
      <c r="S84" t="s">
        <v>25</v>
      </c>
      <c r="T84" s="10">
        <f>(T93-32)/1.8</f>
        <v>4.4444444444444446</v>
      </c>
      <c r="U84" s="28"/>
    </row>
    <row r="85" spans="3:21" x14ac:dyDescent="0.3">
      <c r="C85" s="25">
        <v>6260</v>
      </c>
      <c r="D85" s="24">
        <v>320</v>
      </c>
      <c r="E85" s="24">
        <v>2</v>
      </c>
      <c r="F85" s="28">
        <f t="shared" si="6"/>
        <v>2183.77088</v>
      </c>
      <c r="I85" t="s">
        <v>26</v>
      </c>
      <c r="J85">
        <f>0.622*J89/(101.325-J89)</f>
        <v>2.2896037121390947E-2</v>
      </c>
      <c r="K85" s="28"/>
      <c r="M85" s="25">
        <v>6260</v>
      </c>
      <c r="N85" s="24">
        <v>320</v>
      </c>
      <c r="O85" s="24">
        <v>2</v>
      </c>
      <c r="P85" s="28">
        <f t="shared" si="7"/>
        <v>2183.77088</v>
      </c>
      <c r="S85" t="s">
        <v>26</v>
      </c>
      <c r="T85">
        <f>0.622*T89/(101.325-T89)</f>
        <v>1.9558632863716108E-2</v>
      </c>
      <c r="U85" s="28"/>
    </row>
    <row r="86" spans="3:21" x14ac:dyDescent="0.3">
      <c r="C86" s="25">
        <v>12100</v>
      </c>
      <c r="D86" s="24">
        <v>320</v>
      </c>
      <c r="E86" s="24">
        <v>3</v>
      </c>
      <c r="F86" s="28">
        <f t="shared" si="6"/>
        <v>3275.6563199999996</v>
      </c>
      <c r="I86" t="s">
        <v>29</v>
      </c>
      <c r="J86" s="32">
        <f>0.622*J90/(101.325-J90)</f>
        <v>3.7022874150087178E-3</v>
      </c>
      <c r="K86" s="28"/>
      <c r="M86" s="25">
        <v>12100</v>
      </c>
      <c r="N86" s="24">
        <v>320</v>
      </c>
      <c r="O86" s="24">
        <v>3</v>
      </c>
      <c r="P86" s="28">
        <f t="shared" si="7"/>
        <v>3275.6563199999996</v>
      </c>
      <c r="S86" t="s">
        <v>29</v>
      </c>
      <c r="T86" s="32">
        <f>0.622*T90/(101.325-T90)</f>
        <v>4.4071727310968992E-3</v>
      </c>
      <c r="U86" s="28"/>
    </row>
    <row r="87" spans="3:21" x14ac:dyDescent="0.3">
      <c r="C87" s="25">
        <v>16900</v>
      </c>
      <c r="D87" s="24">
        <v>320</v>
      </c>
      <c r="E87" s="24">
        <v>4</v>
      </c>
      <c r="F87" s="28">
        <f t="shared" si="6"/>
        <v>4367.5417600000001</v>
      </c>
      <c r="K87" s="28"/>
      <c r="M87" s="25">
        <v>16900</v>
      </c>
      <c r="N87" s="24">
        <v>320</v>
      </c>
      <c r="O87" s="24">
        <v>4</v>
      </c>
      <c r="P87" s="28">
        <f t="shared" si="7"/>
        <v>4367.5417600000001</v>
      </c>
      <c r="U87" s="28"/>
    </row>
    <row r="88" spans="3:21" x14ac:dyDescent="0.3">
      <c r="C88" s="25">
        <v>21700</v>
      </c>
      <c r="D88" s="24">
        <v>320</v>
      </c>
      <c r="E88" s="24">
        <v>6</v>
      </c>
      <c r="F88" s="28">
        <f t="shared" si="6"/>
        <v>6551.3126399999992</v>
      </c>
      <c r="K88" s="28"/>
      <c r="M88" s="25">
        <v>21700</v>
      </c>
      <c r="N88" s="24">
        <v>320</v>
      </c>
      <c r="O88" s="24">
        <v>6</v>
      </c>
      <c r="P88" s="28">
        <f t="shared" si="7"/>
        <v>6551.3126399999992</v>
      </c>
      <c r="U88" s="28"/>
    </row>
    <row r="89" spans="3:21" x14ac:dyDescent="0.3">
      <c r="C89" s="25">
        <v>36100</v>
      </c>
      <c r="D89" s="24">
        <v>320</v>
      </c>
      <c r="E89" s="24">
        <v>8</v>
      </c>
      <c r="F89" s="28">
        <f t="shared" si="6"/>
        <v>8735.0835200000001</v>
      </c>
      <c r="I89" t="s">
        <v>27</v>
      </c>
      <c r="J89">
        <f>('Floral Cooler'!E7*0.6112*EXP(17.625*J83/(243.12+J83))/100)</f>
        <v>3.5973875288184591</v>
      </c>
      <c r="K89" s="28"/>
      <c r="M89" s="25">
        <v>36100</v>
      </c>
      <c r="N89" s="24">
        <v>320</v>
      </c>
      <c r="O89" s="24">
        <v>8</v>
      </c>
      <c r="P89" s="28">
        <f t="shared" si="7"/>
        <v>8735.0835200000001</v>
      </c>
      <c r="S89" t="s">
        <v>27</v>
      </c>
      <c r="T89">
        <f>('Produce Warehouse'!E7*0.6112*EXP(17.625*T83/(243.12+T83))/100)</f>
        <v>3.0890060134800126</v>
      </c>
      <c r="U89" s="28"/>
    </row>
    <row r="90" spans="3:21" x14ac:dyDescent="0.3">
      <c r="C90" s="25">
        <v>45100</v>
      </c>
      <c r="D90" s="24">
        <v>960</v>
      </c>
      <c r="E90" s="24">
        <v>2</v>
      </c>
      <c r="F90" s="28">
        <f t="shared" si="6"/>
        <v>6551.3126399999992</v>
      </c>
      <c r="I90" t="s">
        <v>28</v>
      </c>
      <c r="J90">
        <f>('Floral Cooler'!E6*0.6112*EXP(17.625*J84/(243.12+J84))/100)</f>
        <v>0.59954115538807917</v>
      </c>
      <c r="K90" s="28"/>
      <c r="M90" s="25">
        <v>45100</v>
      </c>
      <c r="N90" s="24">
        <v>960</v>
      </c>
      <c r="O90" s="24">
        <v>2</v>
      </c>
      <c r="P90" s="28">
        <f t="shared" si="7"/>
        <v>6551.3126399999992</v>
      </c>
      <c r="S90" t="s">
        <v>28</v>
      </c>
      <c r="T90">
        <f>('Produce Warehouse'!E6*0.6112*EXP(17.625*T84/(243.12+T84))/100)</f>
        <v>0.71288579763771398</v>
      </c>
      <c r="U90" s="28"/>
    </row>
    <row r="91" spans="3:21" x14ac:dyDescent="0.3">
      <c r="C91" s="25">
        <v>58100</v>
      </c>
      <c r="D91" s="24">
        <v>960</v>
      </c>
      <c r="E91" s="24">
        <v>3</v>
      </c>
      <c r="F91" s="28">
        <f t="shared" si="6"/>
        <v>9826.9689600000002</v>
      </c>
      <c r="K91" s="28"/>
      <c r="M91" s="25">
        <v>58100</v>
      </c>
      <c r="N91" s="24">
        <v>960</v>
      </c>
      <c r="O91" s="24">
        <v>3</v>
      </c>
      <c r="P91" s="28">
        <f t="shared" si="7"/>
        <v>9826.9689600000002</v>
      </c>
      <c r="U91" s="28"/>
    </row>
    <row r="92" spans="3:21" x14ac:dyDescent="0.3">
      <c r="C92" s="25">
        <v>105100</v>
      </c>
      <c r="D92" s="24">
        <v>960</v>
      </c>
      <c r="E92" s="24">
        <v>6</v>
      </c>
      <c r="F92" s="28">
        <f t="shared" si="6"/>
        <v>19653.93792</v>
      </c>
      <c r="I92" t="s">
        <v>36</v>
      </c>
      <c r="J92" s="8">
        <f>'Floral Cooler'!E5</f>
        <v>100</v>
      </c>
      <c r="K92" s="28"/>
      <c r="M92" s="25">
        <v>105100</v>
      </c>
      <c r="N92" s="24">
        <v>960</v>
      </c>
      <c r="O92" s="24">
        <v>6</v>
      </c>
      <c r="P92" s="28">
        <f t="shared" si="7"/>
        <v>19653.93792</v>
      </c>
      <c r="S92" t="s">
        <v>36</v>
      </c>
      <c r="T92" s="8">
        <f>'Produce Warehouse'!E5</f>
        <v>95</v>
      </c>
      <c r="U92" s="28"/>
    </row>
    <row r="93" spans="3:21" x14ac:dyDescent="0.3">
      <c r="C93" s="25">
        <v>155000</v>
      </c>
      <c r="D93" s="24">
        <v>960</v>
      </c>
      <c r="E93" s="24">
        <v>8</v>
      </c>
      <c r="F93" s="28">
        <f t="shared" si="6"/>
        <v>26205.250559999997</v>
      </c>
      <c r="I93" t="s">
        <v>37</v>
      </c>
      <c r="J93" s="8">
        <f>'Floral Cooler'!E4</f>
        <v>35</v>
      </c>
      <c r="K93" s="28"/>
      <c r="M93" s="25">
        <v>155000</v>
      </c>
      <c r="N93" s="24">
        <v>960</v>
      </c>
      <c r="O93" s="24">
        <v>8</v>
      </c>
      <c r="P93" s="28">
        <f t="shared" si="7"/>
        <v>26205.250559999997</v>
      </c>
      <c r="S93" t="s">
        <v>37</v>
      </c>
      <c r="T93" s="8">
        <f>'Produce Warehouse'!E4</f>
        <v>40</v>
      </c>
      <c r="U93" s="28"/>
    </row>
    <row r="94" spans="3:21" x14ac:dyDescent="0.3">
      <c r="C94" s="26">
        <v>10000000000</v>
      </c>
      <c r="D94" s="20"/>
      <c r="E94" s="20"/>
      <c r="F94" s="29" t="s">
        <v>39</v>
      </c>
      <c r="K94" s="28"/>
      <c r="M94" s="26">
        <v>10000000000</v>
      </c>
      <c r="N94" s="20"/>
      <c r="O94" s="20"/>
      <c r="P94" s="29" t="s">
        <v>39</v>
      </c>
      <c r="U94" s="28"/>
    </row>
    <row r="95" spans="3:21" x14ac:dyDescent="0.3">
      <c r="C95" s="33"/>
      <c r="I95" t="s">
        <v>40</v>
      </c>
      <c r="J95">
        <f>1.006*J83+J85*(2501+1.86*J83)</f>
        <v>96.876261493439614</v>
      </c>
      <c r="K95" s="28"/>
      <c r="M95" s="33"/>
      <c r="S95" t="s">
        <v>40</v>
      </c>
      <c r="T95">
        <f>1.006*T83+T85*(2501+1.86*T83)</f>
        <v>85.399407791581908</v>
      </c>
      <c r="U95" s="28"/>
    </row>
    <row r="96" spans="3:21" x14ac:dyDescent="0.3">
      <c r="C96" s="33"/>
      <c r="I96" t="s">
        <v>41</v>
      </c>
      <c r="J96">
        <f>1.006*J84+J86*(2501+1.86*J84)</f>
        <v>10.947564582589996</v>
      </c>
      <c r="K96" s="28"/>
      <c r="M96" s="33"/>
      <c r="S96" t="s">
        <v>41</v>
      </c>
      <c r="T96">
        <f>1.006*T84+T86*(2501+1.86*T84)</f>
        <v>15.529882739494859</v>
      </c>
      <c r="U96" s="28"/>
    </row>
    <row r="97" spans="3:21" x14ac:dyDescent="0.3">
      <c r="C97" s="33"/>
      <c r="K97" s="28"/>
      <c r="M97" s="33"/>
      <c r="U97" s="28"/>
    </row>
    <row r="98" spans="3:21" x14ac:dyDescent="0.3">
      <c r="C98" s="33"/>
      <c r="I98" t="s">
        <v>42</v>
      </c>
      <c r="J98">
        <f>J95-J96</f>
        <v>85.928696910849624</v>
      </c>
      <c r="K98" s="28"/>
      <c r="M98" s="33"/>
      <c r="S98" t="s">
        <v>42</v>
      </c>
      <c r="T98">
        <f>T95-T96</f>
        <v>69.869525052087056</v>
      </c>
      <c r="U98" s="28"/>
    </row>
    <row r="99" spans="3:21" x14ac:dyDescent="0.3">
      <c r="C99" s="17"/>
      <c r="D99" s="34"/>
      <c r="E99" s="34"/>
      <c r="F99" s="34"/>
      <c r="G99" s="34"/>
      <c r="H99" s="34"/>
      <c r="I99" s="34"/>
      <c r="J99" s="34"/>
      <c r="K99" s="18"/>
      <c r="M99" s="17"/>
      <c r="N99" s="34"/>
      <c r="O99" s="34"/>
      <c r="P99" s="34"/>
      <c r="Q99" s="34"/>
      <c r="R99" s="34"/>
      <c r="S99" s="34"/>
      <c r="T99" s="34"/>
      <c r="U99" s="18"/>
    </row>
  </sheetData>
  <mergeCells count="8">
    <mergeCell ref="C77:K77"/>
    <mergeCell ref="C2:K2"/>
    <mergeCell ref="M2:U2"/>
    <mergeCell ref="C27:K27"/>
    <mergeCell ref="M27:U27"/>
    <mergeCell ref="C52:K52"/>
    <mergeCell ref="M52:U52"/>
    <mergeCell ref="M77:U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General Walk in Cooler</vt:lpstr>
      <vt:lpstr>General Walk in Freezer</vt:lpstr>
      <vt:lpstr>Convenience Store Cooler</vt:lpstr>
      <vt:lpstr>Produce Cooler</vt:lpstr>
      <vt:lpstr>Warehouse Cooler</vt:lpstr>
      <vt:lpstr>Warehouse Freezer</vt:lpstr>
      <vt:lpstr>Floral Cooler</vt:lpstr>
      <vt:lpstr>Produce Warehouse</vt:lpstr>
      <vt:lpstr>General Walk-in Cooler with DR</vt:lpstr>
      <vt:lpstr>General Walk-in Freezer with DR</vt:lpstr>
      <vt:lpstr>Background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Sajjadh Mazeen</dc:creator>
  <cp:lastModifiedBy>Sajjadh Mazeen</cp:lastModifiedBy>
  <dcterms:created xsi:type="dcterms:W3CDTF">2025-10-08T08:15:55Z</dcterms:created>
  <dcterms:modified xsi:type="dcterms:W3CDTF">2026-01-04T14:15:41Z</dcterms:modified>
</cp:coreProperties>
</file>